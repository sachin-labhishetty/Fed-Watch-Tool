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Enterprise Shares\Risk Management\Market_Risk\Fifth Third Securities\Reports\Daily Risk Report 3\Troubleshooting Tools\"/>
    </mc:Choice>
  </mc:AlternateContent>
  <xr:revisionPtr revIDLastSave="0" documentId="13_ncr:1_{1BF16485-FAD7-4DD0-A80D-7D2EE49FD8D1}" xr6:coauthVersionLast="47" xr6:coauthVersionMax="47" xr10:uidLastSave="{00000000-0000-0000-0000-000000000000}"/>
  <bookViews>
    <workbookView xWindow="19200" yWindow="0" windowWidth="19200" windowHeight="15600" xr2:uid="{93E050E8-AA3C-4D14-A576-7DCB10047CF7}"/>
  </bookViews>
  <sheets>
    <sheet name="Monitor" sheetId="1" r:id="rId1"/>
    <sheet name="BBG_Data" sheetId="2" r:id="rId2"/>
    <sheet name="xlwings.conf" sheetId="3" r:id="rId3"/>
    <sheet name="Help" sheetId="4" r:id="rId4"/>
  </sheets>
  <functionGroups builtInGroupCount="19">
    <functionGroup name="xlwings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9" i="1" l="1"/>
  <c r="S19" i="1" s="1"/>
  <c r="R19" i="1" s="1"/>
  <c r="Q19" i="1" s="1"/>
  <c r="P19" i="1" s="1"/>
  <c r="O19" i="1" s="1"/>
  <c r="N19" i="1" s="1"/>
  <c r="M19" i="1" s="1"/>
  <c r="L19" i="1" s="1"/>
  <c r="K19" i="1" s="1"/>
  <c r="J19" i="1" s="1"/>
  <c r="T18" i="1"/>
  <c r="S18" i="1" s="1"/>
  <c r="R18" i="1" s="1"/>
  <c r="Q18" i="1" s="1"/>
  <c r="P18" i="1" s="1"/>
  <c r="O18" i="1" s="1"/>
  <c r="N18" i="1" s="1"/>
  <c r="M18" i="1" s="1"/>
  <c r="L18" i="1" s="1"/>
  <c r="K18" i="1" s="1"/>
  <c r="J18" i="1" s="1"/>
  <c r="T17" i="1"/>
  <c r="S17" i="1" s="1"/>
  <c r="R17" i="1" s="1"/>
  <c r="Q17" i="1" s="1"/>
  <c r="P17" i="1" s="1"/>
  <c r="O17" i="1" s="1"/>
  <c r="N17" i="1" s="1"/>
  <c r="M17" i="1" s="1"/>
  <c r="L17" i="1" s="1"/>
  <c r="K17" i="1" s="1"/>
  <c r="J17" i="1" s="1"/>
  <c r="T16" i="1"/>
  <c r="S16" i="1" s="1"/>
  <c r="R16" i="1" s="1"/>
  <c r="Q16" i="1" s="1"/>
  <c r="P16" i="1" s="1"/>
  <c r="O16" i="1" s="1"/>
  <c r="N16" i="1" s="1"/>
  <c r="M16" i="1" s="1"/>
  <c r="L16" i="1" s="1"/>
  <c r="K16" i="1" s="1"/>
  <c r="J16" i="1" s="1"/>
  <c r="T15" i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B20" i="1"/>
  <c r="C19" i="1" l="1"/>
  <c r="C18" i="1"/>
  <c r="C17" i="1"/>
  <c r="C16" i="1"/>
  <c r="C15" i="1"/>
</calcChain>
</file>

<file path=xl/sharedStrings.xml><?xml version="1.0" encoding="utf-8"?>
<sst xmlns="http://schemas.openxmlformats.org/spreadsheetml/2006/main" count="103" uniqueCount="75">
  <si>
    <t>50-75</t>
  </si>
  <si>
    <t>75-100</t>
  </si>
  <si>
    <t>100-125</t>
  </si>
  <si>
    <t>125-150</t>
  </si>
  <si>
    <t>150-175</t>
  </si>
  <si>
    <t>175-200</t>
  </si>
  <si>
    <t>200-225</t>
  </si>
  <si>
    <t>225-250</t>
  </si>
  <si>
    <t>250-275</t>
  </si>
  <si>
    <t>275-300</t>
  </si>
  <si>
    <t>300-325</t>
  </si>
  <si>
    <t>325-350</t>
  </si>
  <si>
    <t>350-375</t>
  </si>
  <si>
    <t>375-400</t>
  </si>
  <si>
    <t>25-50</t>
  </si>
  <si>
    <t>Hike</t>
  </si>
  <si>
    <t>Cycle Hikes:</t>
  </si>
  <si>
    <t>One</t>
  </si>
  <si>
    <t>Two</t>
  </si>
  <si>
    <t>Three</t>
  </si>
  <si>
    <t>Four</t>
  </si>
  <si>
    <t>Five</t>
  </si>
  <si>
    <t>Six</t>
  </si>
  <si>
    <t>Seven</t>
  </si>
  <si>
    <t>Nine</t>
  </si>
  <si>
    <t>Ten</t>
  </si>
  <si>
    <t>Eleven</t>
  </si>
  <si>
    <t>Twelve</t>
  </si>
  <si>
    <t>Thirteen</t>
  </si>
  <si>
    <t xml:space="preserve">Fourteen </t>
  </si>
  <si>
    <t>Eight</t>
  </si>
  <si>
    <t>Fifteen</t>
  </si>
  <si>
    <t>Bold Indicates 40% to 49% Probability</t>
  </si>
  <si>
    <t>Green Cells Indicate Probabilities Over 50%</t>
  </si>
  <si>
    <t>PYTHONPATH</t>
  </si>
  <si>
    <t>UDF Modules</t>
  </si>
  <si>
    <t>Conda Path</t>
  </si>
  <si>
    <t>Conda Env</t>
  </si>
  <si>
    <t>fed_rate_hike</t>
  </si>
  <si>
    <t>C:\Work\Anaconda</t>
  </si>
  <si>
    <t>base</t>
  </si>
  <si>
    <t>meeting dates</t>
  </si>
  <si>
    <t>#Hike/Cut</t>
  </si>
  <si>
    <t>%Hike/Cut</t>
  </si>
  <si>
    <t>implied rate change</t>
  </si>
  <si>
    <t>implied rate</t>
  </si>
  <si>
    <t>Meeting Date</t>
  </si>
  <si>
    <t>FTS Capital Markets Risk</t>
  </si>
  <si>
    <t xml:space="preserve"> Instructions</t>
  </si>
  <si>
    <t xml:space="preserve"> This tool requires you to be logged into the terminal</t>
  </si>
  <si>
    <t xml:space="preserve"> Ensure xlwings ribbon is displayed on top</t>
  </si>
  <si>
    <t xml:space="preserve"> Additional requirements - pdblp &amp; blpapi libraries</t>
  </si>
  <si>
    <t>C:\Users\e971477\Anaconda3</t>
  </si>
  <si>
    <t>T:\Risk Management\Market_Risk\Fifth Third Securities\Reports\Daily Risk Report 3\Python_codes\fed rate hike probabilities</t>
  </si>
  <si>
    <t>Momsen, Alexander</t>
  </si>
  <si>
    <t>Labhishetty, Sachin</t>
  </si>
  <si>
    <t>User</t>
  </si>
  <si>
    <t>Kupferberg, Adam</t>
  </si>
  <si>
    <t>Greivenkamp, Kyle</t>
  </si>
  <si>
    <t>Email</t>
  </si>
  <si>
    <t>Kyle.Greivenkamp@53.com</t>
  </si>
  <si>
    <t>Alexander.Momsen@53.com</t>
  </si>
  <si>
    <t>Sachin.Labhishetty@53.com</t>
  </si>
  <si>
    <t>Adam.Kupferberg@53.com</t>
  </si>
  <si>
    <t>C:\ProgramData\Anaconda3</t>
  </si>
  <si>
    <t>C:\Users\E983617\Anaconda3</t>
  </si>
  <si>
    <t>Market Expected Fed Funds Target Rates</t>
  </si>
  <si>
    <t>Probable
 25bp Hikes</t>
  </si>
  <si>
    <t>FOMC Meeting</t>
  </si>
  <si>
    <t xml:space="preserve"> Ensure Bloomberg ribbon is displayed on top</t>
  </si>
  <si>
    <t>400-425</t>
  </si>
  <si>
    <t>425-450</t>
  </si>
  <si>
    <t>Sixteen</t>
  </si>
  <si>
    <t>Seventeen</t>
  </si>
  <si>
    <t>The data is refreshed as of 2022-06-15 14:12:36.739362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</si>
</sst>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8"/>
      <color rgb="FF00B05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5"/>
      <color theme="1"/>
      <name val="Arial Black"/>
      <family val="2"/>
    </font>
    <font>
      <b/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i/>
      <sz val="8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1" fillId="0" borderId="8" applyNumberFormat="0" applyFill="0" applyAlignment="0" applyProtection="0"/>
    <xf numFmtId="0" fontId="14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2" fillId="0" borderId="0" xfId="0" applyFont="1" applyFill="1" applyBorder="1" applyAlignment="1">
      <alignment vertical="center" wrapText="1"/>
    </xf>
    <xf numFmtId="17" fontId="0" fillId="0" borderId="0" xfId="0" quotePrefix="1" applyNumberFormat="1"/>
    <xf numFmtId="0" fontId="0" fillId="0" borderId="0" xfId="0" quotePrefix="1"/>
    <xf numFmtId="2" fontId="2" fillId="3" borderId="1" xfId="0" applyNumberFormat="1" applyFont="1" applyFill="1" applyBorder="1" applyAlignment="1">
      <alignment horizontal="center" vertical="center" wrapText="1"/>
    </xf>
    <xf numFmtId="2" fontId="1" fillId="3" borderId="0" xfId="1" applyNumberFormat="1" applyFont="1" applyFill="1" applyBorder="1" applyAlignment="1">
      <alignment horizontal="center" vertical="center" wrapText="1"/>
    </xf>
    <xf numFmtId="2" fontId="1" fillId="3" borderId="6" xfId="0" applyNumberFormat="1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9" fontId="1" fillId="4" borderId="0" xfId="0" applyNumberFormat="1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 wrapText="1"/>
    </xf>
    <xf numFmtId="2" fontId="2" fillId="4" borderId="0" xfId="0" applyNumberFormat="1" applyFont="1" applyFill="1" applyBorder="1" applyAlignment="1">
      <alignment horizontal="center" vertical="center" wrapText="1"/>
    </xf>
    <xf numFmtId="2" fontId="2" fillId="4" borderId="3" xfId="0" applyNumberFormat="1" applyFont="1" applyFill="1" applyBorder="1" applyAlignment="1">
      <alignment horizontal="center" vertical="center" wrapText="1"/>
    </xf>
    <xf numFmtId="2" fontId="2" fillId="4" borderId="5" xfId="0" applyNumberFormat="1" applyFont="1" applyFill="1" applyBorder="1" applyAlignment="1">
      <alignment horizontal="center" vertical="center" wrapText="1"/>
    </xf>
    <xf numFmtId="9" fontId="1" fillId="4" borderId="2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9" fontId="1" fillId="3" borderId="0" xfId="2" applyFont="1" applyFill="1" applyBorder="1" applyAlignment="1">
      <alignment horizontal="center" vertical="center" wrapText="1"/>
    </xf>
    <xf numFmtId="9" fontId="1" fillId="3" borderId="6" xfId="2" applyFont="1" applyFill="1" applyBorder="1" applyAlignment="1">
      <alignment horizontal="center" vertical="center" wrapText="1"/>
    </xf>
    <xf numFmtId="14" fontId="0" fillId="0" borderId="7" xfId="0" applyNumberFormat="1" applyBorder="1"/>
    <xf numFmtId="0" fontId="0" fillId="0" borderId="7" xfId="0" applyBorder="1"/>
    <xf numFmtId="0" fontId="9" fillId="5" borderId="7" xfId="0" applyFont="1" applyFill="1" applyBorder="1"/>
    <xf numFmtId="0" fontId="8" fillId="0" borderId="7" xfId="0" applyFont="1" applyBorder="1"/>
    <xf numFmtId="0" fontId="0" fillId="6" borderId="0" xfId="0" applyFill="1" applyBorder="1"/>
    <xf numFmtId="0" fontId="0" fillId="6" borderId="4" xfId="0" applyFill="1" applyBorder="1"/>
    <xf numFmtId="0" fontId="0" fillId="7" borderId="0" xfId="0" applyFill="1"/>
    <xf numFmtId="0" fontId="13" fillId="0" borderId="0" xfId="0" applyFont="1" applyAlignment="1"/>
    <xf numFmtId="0" fontId="0" fillId="0" borderId="0" xfId="0" applyAlignment="1">
      <alignment wrapText="1"/>
    </xf>
    <xf numFmtId="0" fontId="14" fillId="0" borderId="0" xfId="4"/>
    <xf numFmtId="14" fontId="2" fillId="3" borderId="3" xfId="0" applyNumberFormat="1" applyFont="1" applyFill="1" applyBorder="1" applyAlignment="1">
      <alignment horizontal="right" vertical="center" wrapText="1"/>
    </xf>
    <xf numFmtId="9" fontId="1" fillId="4" borderId="4" xfId="0" applyNumberFormat="1" applyFont="1" applyFill="1" applyBorder="1" applyAlignment="1">
      <alignment horizontal="center" vertical="center" wrapText="1"/>
    </xf>
    <xf numFmtId="9" fontId="1" fillId="3" borderId="4" xfId="2" applyFont="1" applyFill="1" applyBorder="1" applyAlignment="1">
      <alignment horizontal="center" vertical="center" wrapText="1"/>
    </xf>
    <xf numFmtId="9" fontId="1" fillId="3" borderId="6" xfId="0" applyNumberFormat="1" applyFont="1" applyFill="1" applyBorder="1" applyAlignment="1">
      <alignment horizontal="right" vertical="center" wrapText="1"/>
    </xf>
    <xf numFmtId="0" fontId="0" fillId="0" borderId="6" xfId="0" applyBorder="1"/>
    <xf numFmtId="0" fontId="0" fillId="0" borderId="10" xfId="0" applyBorder="1"/>
    <xf numFmtId="0" fontId="3" fillId="0" borderId="11" xfId="0" applyFont="1" applyBorder="1"/>
    <xf numFmtId="0" fontId="5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2" xfId="0" quotePrefix="1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9" fontId="1" fillId="4" borderId="9" xfId="0" applyNumberFormat="1" applyFont="1" applyFill="1" applyBorder="1" applyAlignment="1">
      <alignment horizontal="center" vertical="center" wrapText="1"/>
    </xf>
    <xf numFmtId="9" fontId="1" fillId="3" borderId="10" xfId="2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right" vertical="center" wrapText="1"/>
    </xf>
    <xf numFmtId="14" fontId="2" fillId="3" borderId="11" xfId="0" applyNumberFormat="1" applyFont="1" applyFill="1" applyBorder="1" applyAlignment="1">
      <alignment horizontal="right" vertical="center" wrapText="1"/>
    </xf>
    <xf numFmtId="2" fontId="1" fillId="3" borderId="13" xfId="1" applyNumberFormat="1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vertical="center"/>
    </xf>
    <xf numFmtId="0" fontId="0" fillId="0" borderId="12" xfId="0" applyBorder="1"/>
    <xf numFmtId="0" fontId="7" fillId="8" borderId="1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12" fillId="6" borderId="0" xfId="3" applyFont="1" applyFill="1" applyBorder="1" applyAlignment="1">
      <alignment vertical="center" wrapText="1" readingOrder="1"/>
    </xf>
    <xf numFmtId="0" fontId="0" fillId="6" borderId="0" xfId="0" applyFill="1" applyBorder="1" applyAlignment="1">
      <alignment wrapText="1"/>
    </xf>
    <xf numFmtId="0" fontId="0" fillId="6" borderId="4" xfId="0" applyFill="1" applyBorder="1" applyAlignment="1">
      <alignment wrapText="1"/>
    </xf>
    <xf numFmtId="14" fontId="15" fillId="3" borderId="5" xfId="0" applyNumberFormat="1" applyFont="1" applyFill="1" applyBorder="1" applyAlignment="1">
      <alignment horizontal="left" vertical="center" wrapText="1"/>
    </xf>
    <xf numFmtId="14" fontId="15" fillId="3" borderId="6" xfId="0" applyNumberFormat="1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vertical="center"/>
    </xf>
    <xf numFmtId="0" fontId="0" fillId="0" borderId="12" xfId="0" applyBorder="1" applyAlignment="1"/>
  </cellXfs>
  <cellStyles count="5">
    <cellStyle name="Comma" xfId="1" builtinId="3"/>
    <cellStyle name="Heading 1" xfId="3" builtinId="16"/>
    <cellStyle name="Hyperlink" xfId="4" builtinId="8"/>
    <cellStyle name="Normal" xfId="0" builtinId="0"/>
    <cellStyle name="Percent" xfId="2" builtinId="5"/>
  </cellStyles>
  <dxfs count="6"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9525</xdr:rowOff>
        </xdr:from>
        <xdr:to>
          <xdr:col>15</xdr:col>
          <xdr:colOff>400050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Fed Hike/Cut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9525</xdr:rowOff>
        </xdr:from>
        <xdr:to>
          <xdr:col>19</xdr:col>
          <xdr:colOff>0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251C3-1BA8-436F-B10A-37D93BD5619C}">
  <sheetPr codeName="Sheet1">
    <tabColor theme="8" tint="0.39997558519241921"/>
  </sheetPr>
  <dimension ref="A1:U23"/>
  <sheetViews>
    <sheetView showGridLines="0" tabSelected="1" zoomScaleNormal="100" workbookViewId="0"/>
  </sheetViews>
  <sheetFormatPr defaultRowHeight="15" x14ac:dyDescent="0.25"/>
  <cols>
    <col min="1" max="1" width="1.5703125" customWidth="1"/>
    <col min="3" max="3" width="12.85546875" bestFit="1" customWidth="1"/>
    <col min="4" max="4" width="9.7109375" customWidth="1"/>
    <col min="5" max="19" width="8.28515625" customWidth="1"/>
  </cols>
  <sheetData>
    <row r="1" spans="1:21" ht="18.75" x14ac:dyDescent="0.4">
      <c r="A1" s="23"/>
      <c r="B1" s="23"/>
      <c r="C1" s="23"/>
      <c r="D1" s="23"/>
      <c r="E1" s="24"/>
      <c r="F1" s="26" t="s">
        <v>48</v>
      </c>
    </row>
    <row r="2" spans="1:21" ht="15.75" customHeight="1" x14ac:dyDescent="0.25">
      <c r="A2" s="23"/>
      <c r="B2" s="53" t="s">
        <v>47</v>
      </c>
      <c r="C2" s="54"/>
      <c r="D2" s="54"/>
      <c r="E2" s="55"/>
      <c r="F2" t="s">
        <v>49</v>
      </c>
    </row>
    <row r="3" spans="1:21" ht="15.75" customHeight="1" x14ac:dyDescent="0.25">
      <c r="A3" s="23"/>
      <c r="B3" s="54"/>
      <c r="C3" s="54"/>
      <c r="D3" s="54"/>
      <c r="E3" s="55"/>
      <c r="F3" t="s">
        <v>50</v>
      </c>
    </row>
    <row r="4" spans="1:21" ht="15.75" customHeight="1" x14ac:dyDescent="0.25">
      <c r="A4" s="23"/>
      <c r="B4" s="54"/>
      <c r="C4" s="54"/>
      <c r="D4" s="54"/>
      <c r="E4" s="55"/>
      <c r="F4" t="s">
        <v>69</v>
      </c>
    </row>
    <row r="5" spans="1:21" ht="15.75" customHeight="1" x14ac:dyDescent="0.25">
      <c r="A5" s="23"/>
      <c r="B5" s="54"/>
      <c r="C5" s="54"/>
      <c r="D5" s="54"/>
      <c r="E5" s="55"/>
      <c r="F5" t="s">
        <v>51</v>
      </c>
    </row>
    <row r="6" spans="1:21" x14ac:dyDescent="0.25">
      <c r="A6" s="23"/>
      <c r="B6" s="23"/>
      <c r="C6" s="23"/>
      <c r="D6" s="23"/>
      <c r="E6" s="24"/>
    </row>
    <row r="7" spans="1:21" s="25" customFormat="1" x14ac:dyDescent="0.25"/>
    <row r="8" spans="1:21" ht="7.5" customHeight="1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21" ht="15.75" customHeight="1" x14ac:dyDescent="0.25">
      <c r="B9" s="50" t="s">
        <v>66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2"/>
    </row>
    <row r="10" spans="1:21" ht="22.5" x14ac:dyDescent="0.25">
      <c r="B10" s="35"/>
      <c r="C10" s="36" t="s">
        <v>16</v>
      </c>
      <c r="D10" s="37" t="s">
        <v>17</v>
      </c>
      <c r="E10" s="37" t="s">
        <v>18</v>
      </c>
      <c r="F10" s="37" t="s">
        <v>19</v>
      </c>
      <c r="G10" s="37" t="s">
        <v>20</v>
      </c>
      <c r="H10" s="37" t="s">
        <v>21</v>
      </c>
      <c r="I10" s="37" t="s">
        <v>22</v>
      </c>
      <c r="J10" s="37" t="s">
        <v>23</v>
      </c>
      <c r="K10" s="37" t="s">
        <v>30</v>
      </c>
      <c r="L10" s="37" t="s">
        <v>24</v>
      </c>
      <c r="M10" s="37" t="s">
        <v>25</v>
      </c>
      <c r="N10" s="37" t="s">
        <v>26</v>
      </c>
      <c r="O10" s="37" t="s">
        <v>27</v>
      </c>
      <c r="P10" s="37" t="s">
        <v>28</v>
      </c>
      <c r="Q10" s="37" t="s">
        <v>29</v>
      </c>
      <c r="R10" s="37" t="s">
        <v>31</v>
      </c>
      <c r="S10" s="37" t="s">
        <v>72</v>
      </c>
      <c r="T10" s="38" t="s">
        <v>73</v>
      </c>
    </row>
    <row r="11" spans="1:21" ht="22.5" x14ac:dyDescent="0.25">
      <c r="B11" s="39" t="s">
        <v>68</v>
      </c>
      <c r="C11" s="40" t="s">
        <v>67</v>
      </c>
      <c r="D11" s="40" t="s">
        <v>14</v>
      </c>
      <c r="E11" s="41" t="s">
        <v>0</v>
      </c>
      <c r="F11" s="41" t="s">
        <v>1</v>
      </c>
      <c r="G11" s="41" t="s">
        <v>2</v>
      </c>
      <c r="H11" s="40" t="s">
        <v>3</v>
      </c>
      <c r="I11" s="40" t="s">
        <v>4</v>
      </c>
      <c r="J11" s="40" t="s">
        <v>5</v>
      </c>
      <c r="K11" s="40" t="s">
        <v>6</v>
      </c>
      <c r="L11" s="40" t="s">
        <v>7</v>
      </c>
      <c r="M11" s="40" t="s">
        <v>8</v>
      </c>
      <c r="N11" s="40" t="s">
        <v>9</v>
      </c>
      <c r="O11" s="40" t="s">
        <v>10</v>
      </c>
      <c r="P11" s="40" t="s">
        <v>11</v>
      </c>
      <c r="Q11" s="40" t="s">
        <v>12</v>
      </c>
      <c r="R11" s="40" t="s">
        <v>13</v>
      </c>
      <c r="S11" s="40" t="s">
        <v>70</v>
      </c>
      <c r="T11" s="42" t="s">
        <v>71</v>
      </c>
    </row>
    <row r="12" spans="1:21" x14ac:dyDescent="0.25">
      <c r="B12" s="29">
        <v>44636</v>
      </c>
      <c r="C12" s="6"/>
      <c r="D12" s="5" t="s">
        <v>15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43"/>
    </row>
    <row r="13" spans="1:21" x14ac:dyDescent="0.25">
      <c r="B13" s="29">
        <v>44685</v>
      </c>
      <c r="C13" s="6"/>
      <c r="D13" s="13"/>
      <c r="E13" s="16" t="s">
        <v>15</v>
      </c>
      <c r="F13" s="16" t="s">
        <v>15</v>
      </c>
      <c r="G13" s="12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30"/>
      <c r="U13" s="3"/>
    </row>
    <row r="14" spans="1:21" x14ac:dyDescent="0.25">
      <c r="B14" s="29">
        <v>44727</v>
      </c>
      <c r="C14" s="6"/>
      <c r="D14" s="13"/>
      <c r="E14" s="10"/>
      <c r="F14" s="10"/>
      <c r="G14" s="16" t="s">
        <v>15</v>
      </c>
      <c r="H14" s="16" t="s">
        <v>15</v>
      </c>
      <c r="I14" s="16" t="s">
        <v>15</v>
      </c>
      <c r="J14" s="12"/>
      <c r="K14" s="10"/>
      <c r="L14" s="10"/>
      <c r="M14" s="10"/>
      <c r="N14" s="10"/>
      <c r="O14" s="10"/>
      <c r="P14" s="10"/>
      <c r="Q14" s="10"/>
      <c r="R14" s="10"/>
      <c r="S14" s="10"/>
      <c r="T14" s="30"/>
      <c r="U14" s="4"/>
    </row>
    <row r="15" spans="1:21" x14ac:dyDescent="0.25">
      <c r="B15" s="29">
        <v>44769</v>
      </c>
      <c r="C15" s="6">
        <f>VLOOKUP(B15,BBG_Data!$C$4:$E$12,3,0)/100</f>
        <v>2.92</v>
      </c>
      <c r="D15" s="13"/>
      <c r="E15" s="10"/>
      <c r="F15" s="10"/>
      <c r="G15" s="10"/>
      <c r="H15" s="10"/>
      <c r="I15" s="10"/>
      <c r="J15" s="17">
        <f>IFERROR(INDEX(BBG_Data!$B$24:$P$30,MATCH(Monitor!$B15,BBG_Data!$C$24:$C$30,0),MATCH(Monitor!J$11,BBG_Data!$B$24:$P$24,0))/100,IF(K15=1,1,0))</f>
        <v>1</v>
      </c>
      <c r="K15" s="17">
        <f>IFERROR(INDEX(BBG_Data!$B$24:$P$30,MATCH(Monitor!$B15,BBG_Data!$C$24:$C$30,0),MATCH(Monitor!K$11,BBG_Data!$B$24:$P$24,0))/100,IF(L15=1,1,0))</f>
        <v>1</v>
      </c>
      <c r="L15" s="17">
        <f>IFERROR(INDEX(BBG_Data!$B$24:$P$30,MATCH(Monitor!$B15,BBG_Data!$C$24:$C$30,0),MATCH(Monitor!L$11,BBG_Data!$B$24:$P$24,0))/100,IF(M15=1,1,0))</f>
        <v>0.92</v>
      </c>
      <c r="M15" s="17">
        <f>IFERROR(INDEX(BBG_Data!$B$24:$P$30,MATCH(Monitor!$B15,BBG_Data!$C$24:$C$30,0),MATCH(Monitor!M$11,BBG_Data!$B$24:$P$24,0))/100,IF(N15=1,1,0))</f>
        <v>0</v>
      </c>
      <c r="N15" s="17">
        <f>IFERROR(INDEX(BBG_Data!$B$24:$P$30,MATCH(Monitor!$B15,BBG_Data!$C$24:$C$30,0),MATCH(Monitor!N$11,BBG_Data!$B$24:$P$24,0))/100,IF(O15=1,1,0))</f>
        <v>0</v>
      </c>
      <c r="O15" s="17">
        <f>IFERROR(INDEX(BBG_Data!$B$24:$P$30,MATCH(Monitor!$B15,BBG_Data!$C$24:$C$30,0),MATCH(Monitor!O$11,BBG_Data!$B$24:$P$24,0))/100,IF(P15=1,1,0))</f>
        <v>0</v>
      </c>
      <c r="P15" s="17">
        <f>IFERROR(INDEX(BBG_Data!$B$24:$P$30,MATCH(Monitor!$B15,BBG_Data!$C$24:$C$30,0),MATCH(Monitor!P$11,BBG_Data!$B$24:$P$24,0))/100,IF(Q15=1,1,0))</f>
        <v>0</v>
      </c>
      <c r="Q15" s="17">
        <f>IFERROR(INDEX(BBG_Data!$B$24:$P$30,MATCH(Monitor!$B15,BBG_Data!$C$24:$C$30,0),MATCH(Monitor!Q$11,BBG_Data!$B$24:$P$24,0))/100,IF(R15=1,1,0))</f>
        <v>0</v>
      </c>
      <c r="R15" s="17">
        <f>IFERROR(INDEX(BBG_Data!$B$24:$P$30,MATCH(Monitor!$B15,BBG_Data!$C$24:$C$30,0),MATCH(Monitor!R$11,BBG_Data!$B$24:$P$24,0))/100,IF(S15=1,1,0))</f>
        <v>0</v>
      </c>
      <c r="S15" s="17">
        <f>IFERROR(INDEX(BBG_Data!$B$24:$P$30,MATCH(Monitor!$B15,BBG_Data!$C$24:$C$30,0),MATCH(Monitor!S$11,BBG_Data!$B$24:$P$24,0))/100,IF(T15=1,1,0))</f>
        <v>0</v>
      </c>
      <c r="T15" s="31">
        <f>IFERROR(INDEX(BBG_Data!$B$24:$P$30,MATCH(Monitor!$B15,BBG_Data!$C$24:$C$30,0),MATCH(Monitor!T$11,BBG_Data!$B$24:$P$24,0))/100,IF(U15=1,1,0))</f>
        <v>0</v>
      </c>
    </row>
    <row r="16" spans="1:21" x14ac:dyDescent="0.25">
      <c r="B16" s="29">
        <v>44825</v>
      </c>
      <c r="C16" s="6">
        <f>VLOOKUP(B16,BBG_Data!$C$4:$E$12,3,0)/100</f>
        <v>2.4160000000000004</v>
      </c>
      <c r="D16" s="13"/>
      <c r="E16" s="10"/>
      <c r="F16" s="10"/>
      <c r="G16" s="10"/>
      <c r="H16" s="10"/>
      <c r="I16" s="10"/>
      <c r="J16" s="17">
        <f>IFERROR(INDEX(BBG_Data!$B$24:$P$30,MATCH(Monitor!$B16,BBG_Data!$C$24:$C$30,0),MATCH(Monitor!J$11,BBG_Data!$B$24:$P$24,0))/100,IF(K16=1,1,0))</f>
        <v>1</v>
      </c>
      <c r="K16" s="17">
        <f>IFERROR(INDEX(BBG_Data!$B$24:$P$30,MATCH(Monitor!$B16,BBG_Data!$C$24:$C$30,0),MATCH(Monitor!K$11,BBG_Data!$B$24:$P$24,0))/100,IF(L16=1,1,0))</f>
        <v>1</v>
      </c>
      <c r="L16" s="17">
        <f>IFERROR(INDEX(BBG_Data!$B$24:$P$30,MATCH(Monitor!$B16,BBG_Data!$C$24:$C$30,0),MATCH(Monitor!L$11,BBG_Data!$B$24:$P$24,0))/100,IF(M16=1,1,0))</f>
        <v>1</v>
      </c>
      <c r="M16" s="17">
        <f>IFERROR(INDEX(BBG_Data!$B$24:$P$30,MATCH(Monitor!$B16,BBG_Data!$C$24:$C$30,0),MATCH(Monitor!M$11,BBG_Data!$B$24:$P$24,0))/100,IF(N16=1,1,0))</f>
        <v>1</v>
      </c>
      <c r="N16" s="17">
        <f>IFERROR(INDEX(BBG_Data!$B$24:$P$30,MATCH(Monitor!$B16,BBG_Data!$C$24:$C$30,0),MATCH(Monitor!N$11,BBG_Data!$B$24:$P$24,0))/100,IF(O16=1,1,0))</f>
        <v>0.95330000000000004</v>
      </c>
      <c r="O16" s="17">
        <f>IFERROR(INDEX(BBG_Data!$B$24:$P$30,MATCH(Monitor!$B16,BBG_Data!$C$24:$C$30,0),MATCH(Monitor!O$11,BBG_Data!$B$24:$P$24,0))/100,IF(P16=1,1,0))</f>
        <v>0.38270000000000004</v>
      </c>
      <c r="P16" s="17">
        <f>IFERROR(INDEX(BBG_Data!$B$24:$P$30,MATCH(Monitor!$B16,BBG_Data!$C$24:$C$30,0),MATCH(Monitor!P$11,BBG_Data!$B$24:$P$24,0))/100,IF(Q16=1,1,0))</f>
        <v>0</v>
      </c>
      <c r="Q16" s="17">
        <f>IFERROR(INDEX(BBG_Data!$B$24:$P$30,MATCH(Monitor!$B16,BBG_Data!$C$24:$C$30,0),MATCH(Monitor!Q$11,BBG_Data!$B$24:$P$24,0))/100,IF(R16=1,1,0))</f>
        <v>0</v>
      </c>
      <c r="R16" s="17">
        <f>IFERROR(INDEX(BBG_Data!$B$24:$P$30,MATCH(Monitor!$B16,BBG_Data!$C$24:$C$30,0),MATCH(Monitor!R$11,BBG_Data!$B$24:$P$24,0))/100,IF(S16=1,1,0))</f>
        <v>0</v>
      </c>
      <c r="S16" s="17">
        <f>IFERROR(INDEX(BBG_Data!$B$24:$P$30,MATCH(Monitor!$B16,BBG_Data!$C$24:$C$30,0),MATCH(Monitor!S$11,BBG_Data!$B$24:$P$24,0))/100,IF(T16=1,1,0))</f>
        <v>0</v>
      </c>
      <c r="T16" s="31">
        <f>IFERROR(INDEX(BBG_Data!$B$24:$P$30,MATCH(Monitor!$B16,BBG_Data!$C$24:$C$30,0),MATCH(Monitor!T$11,BBG_Data!$B$24:$P$24,0))/100,IF(U16=1,1,0))</f>
        <v>0</v>
      </c>
    </row>
    <row r="17" spans="2:20" x14ac:dyDescent="0.25">
      <c r="B17" s="29">
        <v>44867</v>
      </c>
      <c r="C17" s="6">
        <f>VLOOKUP(B17,BBG_Data!$C$4:$E$12,3,0)/100</f>
        <v>1.7560000000000002</v>
      </c>
      <c r="D17" s="13"/>
      <c r="E17" s="10"/>
      <c r="F17" s="10"/>
      <c r="G17" s="10"/>
      <c r="H17" s="10"/>
      <c r="I17" s="10"/>
      <c r="J17" s="17">
        <f>IFERROR(INDEX(BBG_Data!$B$24:$P$30,MATCH(Monitor!$B17,BBG_Data!$C$24:$C$30,0),MATCH(Monitor!J$11,BBG_Data!$B$24:$P$24,0))/100,IF(K17=1,1,0))</f>
        <v>1</v>
      </c>
      <c r="K17" s="17">
        <f>IFERROR(INDEX(BBG_Data!$B$24:$P$30,MATCH(Monitor!$B17,BBG_Data!$C$24:$C$30,0),MATCH(Monitor!K$11,BBG_Data!$B$24:$P$24,0))/100,IF(L17=1,1,0))</f>
        <v>1</v>
      </c>
      <c r="L17" s="17">
        <f>IFERROR(INDEX(BBG_Data!$B$24:$P$30,MATCH(Monitor!$B17,BBG_Data!$C$24:$C$30,0),MATCH(Monitor!L$11,BBG_Data!$B$24:$P$24,0))/100,IF(M17=1,1,0))</f>
        <v>1</v>
      </c>
      <c r="M17" s="17">
        <f>IFERROR(INDEX(BBG_Data!$B$24:$P$30,MATCH(Monitor!$B17,BBG_Data!$C$24:$C$30,0),MATCH(Monitor!M$11,BBG_Data!$B$24:$P$24,0))/100,IF(N17=1,1,0))</f>
        <v>1</v>
      </c>
      <c r="N17" s="17">
        <f>IFERROR(INDEX(BBG_Data!$B$24:$P$30,MATCH(Monitor!$B17,BBG_Data!$C$24:$C$30,0),MATCH(Monitor!N$11,BBG_Data!$B$24:$P$24,0))/100,IF(O17=1,1,0))</f>
        <v>1</v>
      </c>
      <c r="O17" s="17">
        <f>IFERROR(INDEX(BBG_Data!$B$24:$P$30,MATCH(Monitor!$B17,BBG_Data!$C$24:$C$30,0),MATCH(Monitor!O$11,BBG_Data!$B$24:$P$24,0))/100,IF(P17=1,1,0))</f>
        <v>0.98860000000000003</v>
      </c>
      <c r="P17" s="17">
        <f>IFERROR(INDEX(BBG_Data!$B$24:$P$30,MATCH(Monitor!$B17,BBG_Data!$C$24:$C$30,0),MATCH(Monitor!P$11,BBG_Data!$B$24:$P$24,0))/100,IF(Q17=1,1,0))</f>
        <v>0.81409999999999993</v>
      </c>
      <c r="Q17" s="17">
        <f>IFERROR(INDEX(BBG_Data!$B$24:$P$30,MATCH(Monitor!$B17,BBG_Data!$C$24:$C$30,0),MATCH(Monitor!Q$11,BBG_Data!$B$24:$P$24,0))/100,IF(R17=1,1,0))</f>
        <v>0.2893</v>
      </c>
      <c r="R17" s="17">
        <f>IFERROR(INDEX(BBG_Data!$B$24:$P$30,MATCH(Monitor!$B17,BBG_Data!$C$24:$C$30,0),MATCH(Monitor!R$11,BBG_Data!$B$24:$P$24,0))/100,IF(S17=1,1,0))</f>
        <v>0</v>
      </c>
      <c r="S17" s="17">
        <f>IFERROR(INDEX(BBG_Data!$B$24:$P$30,MATCH(Monitor!$B17,BBG_Data!$C$24:$C$30,0),MATCH(Monitor!S$11,BBG_Data!$B$24:$P$24,0))/100,IF(T17=1,1,0))</f>
        <v>0</v>
      </c>
      <c r="T17" s="31">
        <f>IFERROR(INDEX(BBG_Data!$B$24:$P$30,MATCH(Monitor!$B17,BBG_Data!$C$24:$C$30,0),MATCH(Monitor!T$11,BBG_Data!$B$24:$P$24,0))/100,IF(U17=1,1,0))</f>
        <v>0</v>
      </c>
    </row>
    <row r="18" spans="2:20" x14ac:dyDescent="0.25">
      <c r="B18" s="45">
        <v>44909</v>
      </c>
      <c r="C18" s="7">
        <f>VLOOKUP(B18,BBG_Data!$C$4:$E$12,3,0)/100</f>
        <v>1.2560000000000002</v>
      </c>
      <c r="D18" s="14"/>
      <c r="E18" s="11"/>
      <c r="F18" s="11"/>
      <c r="G18" s="11"/>
      <c r="H18" s="11"/>
      <c r="I18" s="11"/>
      <c r="J18" s="18">
        <f>IFERROR(INDEX(BBG_Data!$B$24:$P$30,MATCH(Monitor!$B18,BBG_Data!$C$24:$C$30,0),MATCH(Monitor!J$11,BBG_Data!$B$24:$P$24,0))/100,IF(K18=1,1,0))</f>
        <v>1</v>
      </c>
      <c r="K18" s="18">
        <f>IFERROR(INDEX(BBG_Data!$B$24:$P$30,MATCH(Monitor!$B18,BBG_Data!$C$24:$C$30,0),MATCH(Monitor!K$11,BBG_Data!$B$24:$P$24,0))/100,IF(L18=1,1,0))</f>
        <v>1</v>
      </c>
      <c r="L18" s="18">
        <f>IFERROR(INDEX(BBG_Data!$B$24:$P$30,MATCH(Monitor!$B18,BBG_Data!$C$24:$C$30,0),MATCH(Monitor!L$11,BBG_Data!$B$24:$P$24,0))/100,IF(M18=1,1,0))</f>
        <v>1</v>
      </c>
      <c r="M18" s="18">
        <f>IFERROR(INDEX(BBG_Data!$B$24:$P$30,MATCH(Monitor!$B18,BBG_Data!$C$24:$C$30,0),MATCH(Monitor!M$11,BBG_Data!$B$24:$P$24,0))/100,IF(N18=1,1,0))</f>
        <v>1</v>
      </c>
      <c r="N18" s="18">
        <f>IFERROR(INDEX(BBG_Data!$B$24:$P$30,MATCH(Monitor!$B18,BBG_Data!$C$24:$C$30,0),MATCH(Monitor!N$11,BBG_Data!$B$24:$P$24,0))/100,IF(O18=1,1,0))</f>
        <v>1</v>
      </c>
      <c r="O18" s="18">
        <f>IFERROR(INDEX(BBG_Data!$B$24:$P$30,MATCH(Monitor!$B18,BBG_Data!$C$24:$C$30,0),MATCH(Monitor!O$11,BBG_Data!$B$24:$P$24,0))/100,IF(P18=1,1,0))</f>
        <v>1</v>
      </c>
      <c r="P18" s="18">
        <f>IFERROR(INDEX(BBG_Data!$B$24:$P$30,MATCH(Monitor!$B18,BBG_Data!$C$24:$C$30,0),MATCH(Monitor!P$11,BBG_Data!$B$24:$P$24,0))/100,IF(Q18=1,1,0))</f>
        <v>0.99150000000000005</v>
      </c>
      <c r="Q18" s="18">
        <f>IFERROR(INDEX(BBG_Data!$B$24:$P$30,MATCH(Monitor!$B18,BBG_Data!$C$24:$C$30,0),MATCH(Monitor!Q$11,BBG_Data!$B$24:$P$24,0))/100,IF(R18=1,1,0))</f>
        <v>0.85880000000000001</v>
      </c>
      <c r="R18" s="18">
        <f>IFERROR(INDEX(BBG_Data!$B$24:$P$30,MATCH(Monitor!$B18,BBG_Data!$C$24:$C$30,0),MATCH(Monitor!R$11,BBG_Data!$B$24:$P$24,0))/100,IF(S18=1,1,0))</f>
        <v>0.42369999999999997</v>
      </c>
      <c r="S18" s="18">
        <f>IFERROR(INDEX(BBG_Data!$B$24:$P$30,MATCH(Monitor!$B18,BBG_Data!$C$24:$C$30,0),MATCH(Monitor!S$11,BBG_Data!$B$24:$P$24,0))/100,IF(T18=1,1,0))</f>
        <v>7.4099999999999999E-2</v>
      </c>
      <c r="T18" s="44">
        <f>IFERROR(INDEX(BBG_Data!$B$24:$P$30,MATCH(Monitor!$B18,BBG_Data!$C$24:$C$30,0),MATCH(Monitor!T$11,BBG_Data!$B$24:$P$24,0))/100,IF(U18=1,1,0))</f>
        <v>0</v>
      </c>
    </row>
    <row r="19" spans="2:20" x14ac:dyDescent="0.25">
      <c r="B19" s="46">
        <v>44958</v>
      </c>
      <c r="C19" s="47">
        <f>VLOOKUP(B19,BBG_Data!$C$4:$E$12,3,0)/100</f>
        <v>0.69599999999999962</v>
      </c>
      <c r="D19" s="14"/>
      <c r="E19" s="11"/>
      <c r="F19" s="11"/>
      <c r="G19" s="10"/>
      <c r="H19" s="10"/>
      <c r="I19" s="10"/>
      <c r="J19" s="18">
        <f>IFERROR(INDEX(BBG_Data!$B$24:$P$30,MATCH(Monitor!$B19,BBG_Data!$C$24:$C$30,0),MATCH(Monitor!J$11,BBG_Data!$B$24:$P$24,0))/100,IF(K19=1,1,0))</f>
        <v>1</v>
      </c>
      <c r="K19" s="18">
        <f>IFERROR(INDEX(BBG_Data!$B$24:$P$30,MATCH(Monitor!$B19,BBG_Data!$C$24:$C$30,0),MATCH(Monitor!K$11,BBG_Data!$B$24:$P$24,0))/100,IF(L19=1,1,0))</f>
        <v>1</v>
      </c>
      <c r="L19" s="18">
        <f>IFERROR(INDEX(BBG_Data!$B$24:$P$30,MATCH(Monitor!$B19,BBG_Data!$C$24:$C$30,0),MATCH(Monitor!L$11,BBG_Data!$B$24:$P$24,0))/100,IF(M19=1,1,0))</f>
        <v>1</v>
      </c>
      <c r="M19" s="18">
        <f>IFERROR(INDEX(BBG_Data!$B$24:$P$30,MATCH(Monitor!$B19,BBG_Data!$C$24:$C$30,0),MATCH(Monitor!M$11,BBG_Data!$B$24:$P$24,0))/100,IF(N19=1,1,0))</f>
        <v>1</v>
      </c>
      <c r="N19" s="18">
        <f>IFERROR(INDEX(BBG_Data!$B$24:$P$30,MATCH(Monitor!$B19,BBG_Data!$C$24:$C$30,0),MATCH(Monitor!N$11,BBG_Data!$B$24:$P$24,0))/100,IF(O19=1,1,0))</f>
        <v>1</v>
      </c>
      <c r="O19" s="18">
        <f>IFERROR(INDEX(BBG_Data!$B$24:$P$30,MATCH(Monitor!$B19,BBG_Data!$C$24:$C$30,0),MATCH(Monitor!O$11,BBG_Data!$B$24:$P$24,0))/100,IF(P19=1,1,0))</f>
        <v>1</v>
      </c>
      <c r="P19" s="18">
        <f>IFERROR(INDEX(BBG_Data!$B$24:$P$30,MATCH(Monitor!$B19,BBG_Data!$C$24:$C$30,0),MATCH(Monitor!P$11,BBG_Data!$B$24:$P$24,0))/100,IF(Q19=1,1,0))</f>
        <v>0.99739999999999995</v>
      </c>
      <c r="Q19" s="18">
        <f>IFERROR(INDEX(BBG_Data!$B$24:$P$30,MATCH(Monitor!$B19,BBG_Data!$C$24:$C$30,0),MATCH(Monitor!Q$11,BBG_Data!$B$24:$P$24,0))/100,IF(R19=1,1,0))</f>
        <v>0.95120000000000005</v>
      </c>
      <c r="R19" s="18">
        <f>IFERROR(INDEX(BBG_Data!$B$24:$P$30,MATCH(Monitor!$B19,BBG_Data!$C$24:$C$30,0),MATCH(Monitor!R$11,BBG_Data!$B$24:$P$24,0))/100,IF(S19=1,1,0))</f>
        <v>0.72650000000000003</v>
      </c>
      <c r="S19" s="18">
        <f>IFERROR(INDEX(BBG_Data!$B$24:$P$30,MATCH(Monitor!$B19,BBG_Data!$C$24:$C$30,0),MATCH(Monitor!S$11,BBG_Data!$B$24:$P$24,0))/100,IF(T19=1,1,0))</f>
        <v>0.31739999999999996</v>
      </c>
      <c r="T19" s="44">
        <f>IFERROR(INDEX(BBG_Data!$B$24:$P$30,MATCH(Monitor!$B19,BBG_Data!$C$24:$C$30,0),MATCH(Monitor!T$11,BBG_Data!$B$24:$P$24,0))/100,IF(U19=1,1,0))</f>
        <v>5.16E-2</v>
      </c>
    </row>
    <row r="20" spans="2:20" x14ac:dyDescent="0.25">
      <c r="B20" s="56" t="str">
        <f>"Source: Bloomberg WIRP    Data Updated: "&amp; TEXT(RIGHT(BBG_Data!B1,LEN(BBG_Data!B1)-SEARCH("20",BBG_Data!B1)+1),"MM/DD/YYYY HH:MM")</f>
        <v>Source: Bloomberg WIRP    Data Updated: 06/15/2022 14:12</v>
      </c>
      <c r="C20" s="57"/>
      <c r="D20" s="57"/>
      <c r="E20" s="57"/>
      <c r="F20" s="57"/>
      <c r="G20" s="49"/>
      <c r="H20" s="58" t="s">
        <v>33</v>
      </c>
      <c r="I20" s="59"/>
      <c r="J20" s="59"/>
      <c r="K20" s="59"/>
      <c r="L20" s="59"/>
      <c r="M20" s="32"/>
      <c r="N20" s="49"/>
      <c r="O20" s="48" t="s">
        <v>32</v>
      </c>
      <c r="P20" s="48"/>
      <c r="Q20" s="48"/>
      <c r="R20" s="48"/>
      <c r="S20" s="33"/>
      <c r="T20" s="34"/>
    </row>
    <row r="21" spans="2:20" ht="15.75" customHeight="1" x14ac:dyDescent="0.25">
      <c r="B21" s="8"/>
      <c r="C21" s="8"/>
      <c r="D21" s="8"/>
      <c r="E21" s="8"/>
      <c r="F21" s="9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20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2:20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</sheetData>
  <mergeCells count="4">
    <mergeCell ref="B9:T9"/>
    <mergeCell ref="B2:E5"/>
    <mergeCell ref="B20:F20"/>
    <mergeCell ref="H20:L20"/>
  </mergeCells>
  <conditionalFormatting sqref="M20 E12:R12 E14:F14 H13:R13 E15:R19">
    <cfRule type="cellIs" dxfId="5" priority="7" operator="between">
      <formula>0.4</formula>
      <formula>0.5</formula>
    </cfRule>
    <cfRule type="cellIs" dxfId="4" priority="8" operator="greaterThan">
      <formula>0.5</formula>
    </cfRule>
  </conditionalFormatting>
  <conditionalFormatting sqref="S12:T13 S15:T19">
    <cfRule type="cellIs" dxfId="3" priority="3" operator="between">
      <formula>0.4</formula>
      <formula>0.5</formula>
    </cfRule>
    <cfRule type="cellIs" dxfId="2" priority="4" operator="greaterThan">
      <formula>0.5</formula>
    </cfRule>
  </conditionalFormatting>
  <conditionalFormatting sqref="K14:T14">
    <cfRule type="cellIs" dxfId="1" priority="1" operator="between">
      <formula>0.4</formula>
      <formula>0.5</formula>
    </cfRule>
    <cfRule type="cellIs" dxfId="0" priority="2" operator="greaterThan">
      <formula>0.5</formula>
    </cfRule>
  </conditionalFormatting>
  <pageMargins left="0.7" right="0.7" top="0.75" bottom="0.75" header="0.3" footer="0.3"/>
  <pageSetup orientation="portrait" r:id="rId1"/>
  <headerFooter>
    <oddFooter>&amp;C&amp;1#&amp;"Calibri"&amp;8&amp;K000000Classification: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409575</xdr:colOff>
                    <xdr:row>1</xdr:row>
                    <xdr:rowOff>9525</xdr:rowOff>
                  </from>
                  <to>
                    <xdr:col>15</xdr:col>
                    <xdr:colOff>400050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ndEmail">
                <anchor moveWithCells="1" sizeWithCells="1">
                  <from>
                    <xdr:col>16</xdr:col>
                    <xdr:colOff>304800</xdr:colOff>
                    <xdr:row>1</xdr:row>
                    <xdr:rowOff>9525</xdr:rowOff>
                  </from>
                  <to>
                    <xdr:col>19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5158-51DA-407E-BAA8-765DE783537B}">
  <sheetPr codeName="Sheet2">
    <tabColor theme="9" tint="0.59999389629810485"/>
  </sheetPr>
  <dimension ref="B1:M29"/>
  <sheetViews>
    <sheetView zoomScale="120" zoomScaleNormal="120" workbookViewId="0"/>
  </sheetViews>
  <sheetFormatPr defaultRowHeight="15" x14ac:dyDescent="0.25"/>
  <cols>
    <col min="2" max="24" width="11.42578125" customWidth="1"/>
    <col min="26" max="37" width="11.42578125" customWidth="1"/>
  </cols>
  <sheetData>
    <row r="1" spans="2:13" x14ac:dyDescent="0.25">
      <c r="B1" t="s">
        <v>74</v>
      </c>
    </row>
    <row r="3" spans="2:13" x14ac:dyDescent="0.25">
      <c r="B3" s="21"/>
      <c r="C3" s="21" t="s">
        <v>41</v>
      </c>
      <c r="D3" s="21" t="s">
        <v>42</v>
      </c>
      <c r="E3" s="21" t="s">
        <v>43</v>
      </c>
      <c r="F3" s="21" t="s">
        <v>44</v>
      </c>
      <c r="G3" s="21" t="s">
        <v>45</v>
      </c>
    </row>
    <row r="4" spans="2:13" x14ac:dyDescent="0.25">
      <c r="B4" s="22">
        <v>0</v>
      </c>
      <c r="C4" s="19">
        <v>44727</v>
      </c>
      <c r="D4" s="20">
        <v>0</v>
      </c>
      <c r="G4">
        <v>1.5979999999999999</v>
      </c>
    </row>
    <row r="5" spans="2:13" x14ac:dyDescent="0.25">
      <c r="B5" s="22">
        <v>1</v>
      </c>
      <c r="C5" s="19">
        <v>44769</v>
      </c>
      <c r="D5" s="20">
        <v>2.92</v>
      </c>
      <c r="E5">
        <v>292</v>
      </c>
      <c r="F5">
        <v>0.73</v>
      </c>
      <c r="G5">
        <v>2.3279999999999998</v>
      </c>
    </row>
    <row r="6" spans="2:13" x14ac:dyDescent="0.25">
      <c r="B6" s="22">
        <v>2</v>
      </c>
      <c r="C6" s="19">
        <v>44825</v>
      </c>
      <c r="D6" s="20">
        <v>5.3360000000000003</v>
      </c>
      <c r="E6">
        <v>241.60000000000002</v>
      </c>
      <c r="F6">
        <v>0.60400000000000009</v>
      </c>
      <c r="G6">
        <v>2.9319999999999999</v>
      </c>
    </row>
    <row r="7" spans="2:13" x14ac:dyDescent="0.25">
      <c r="B7" s="22">
        <v>3</v>
      </c>
      <c r="C7" s="19">
        <v>44867</v>
      </c>
      <c r="D7" s="20">
        <v>7.0920000000000005</v>
      </c>
      <c r="E7">
        <v>175.60000000000002</v>
      </c>
      <c r="F7">
        <v>0.43900000000000006</v>
      </c>
      <c r="G7">
        <v>3.371</v>
      </c>
    </row>
    <row r="8" spans="2:13" x14ac:dyDescent="0.25">
      <c r="B8" s="22">
        <v>4</v>
      </c>
      <c r="C8" s="19">
        <v>44909</v>
      </c>
      <c r="D8" s="20">
        <v>8.3480000000000008</v>
      </c>
      <c r="E8">
        <v>125.60000000000002</v>
      </c>
      <c r="F8">
        <v>0.31400000000000006</v>
      </c>
      <c r="G8">
        <v>3.6850000000000001</v>
      </c>
    </row>
    <row r="9" spans="2:13" x14ac:dyDescent="0.25">
      <c r="B9" s="22">
        <v>5</v>
      </c>
      <c r="C9" s="19">
        <v>44958</v>
      </c>
      <c r="D9" s="20">
        <v>9.0440000000000005</v>
      </c>
      <c r="E9">
        <v>69.599999999999966</v>
      </c>
      <c r="F9">
        <v>0.17399999999999993</v>
      </c>
      <c r="G9">
        <v>3.859</v>
      </c>
    </row>
    <row r="14" spans="2:13" x14ac:dyDescent="0.25">
      <c r="B14" s="21"/>
      <c r="C14" s="21" t="s">
        <v>46</v>
      </c>
      <c r="D14" s="21" t="s">
        <v>6</v>
      </c>
      <c r="E14" s="21" t="s">
        <v>7</v>
      </c>
      <c r="F14" s="21" t="s">
        <v>8</v>
      </c>
      <c r="G14" s="21" t="s">
        <v>9</v>
      </c>
      <c r="H14" s="21" t="s">
        <v>10</v>
      </c>
      <c r="I14" s="21" t="s">
        <v>11</v>
      </c>
      <c r="J14" s="21" t="s">
        <v>12</v>
      </c>
      <c r="K14" s="21" t="s">
        <v>13</v>
      </c>
      <c r="L14" s="21" t="s">
        <v>70</v>
      </c>
      <c r="M14" s="21" t="s">
        <v>71</v>
      </c>
    </row>
    <row r="15" spans="2:13" x14ac:dyDescent="0.25">
      <c r="B15" s="22">
        <v>0</v>
      </c>
      <c r="C15" s="19">
        <v>44769</v>
      </c>
      <c r="D15" s="20">
        <v>8</v>
      </c>
      <c r="E15" s="20">
        <v>92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</row>
    <row r="16" spans="2:13" x14ac:dyDescent="0.25">
      <c r="B16" s="22">
        <v>1</v>
      </c>
      <c r="C16" s="19">
        <v>44825</v>
      </c>
      <c r="D16" s="20">
        <v>0</v>
      </c>
      <c r="E16" s="20">
        <v>0</v>
      </c>
      <c r="F16" s="20">
        <v>4.6719999999999997</v>
      </c>
      <c r="G16" s="20">
        <v>57.055999999999997</v>
      </c>
      <c r="H16" s="20">
        <v>38.271999999999998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</row>
    <row r="17" spans="2:13" x14ac:dyDescent="0.25">
      <c r="B17" s="22">
        <v>2</v>
      </c>
      <c r="C17" s="19">
        <v>44867</v>
      </c>
      <c r="D17" s="20">
        <v>0</v>
      </c>
      <c r="E17" s="20">
        <v>0</v>
      </c>
      <c r="F17" s="20">
        <v>0</v>
      </c>
      <c r="G17" s="20">
        <v>1.1399999999999999</v>
      </c>
      <c r="H17" s="20">
        <v>17.454000000000001</v>
      </c>
      <c r="I17" s="20">
        <v>52.472999999999999</v>
      </c>
      <c r="J17" s="20">
        <v>28.934000000000001</v>
      </c>
      <c r="K17" s="20">
        <v>0</v>
      </c>
      <c r="L17" s="20">
        <v>0</v>
      </c>
      <c r="M17" s="20">
        <v>0</v>
      </c>
    </row>
    <row r="18" spans="2:13" x14ac:dyDescent="0.25">
      <c r="B18" s="22">
        <v>3</v>
      </c>
      <c r="C18" s="19">
        <v>44909</v>
      </c>
      <c r="D18" s="20">
        <v>0</v>
      </c>
      <c r="E18" s="20">
        <v>0</v>
      </c>
      <c r="F18" s="20">
        <v>0</v>
      </c>
      <c r="G18" s="20">
        <v>0</v>
      </c>
      <c r="H18" s="20">
        <v>0.84799999999999998</v>
      </c>
      <c r="I18" s="20">
        <v>13.276999999999999</v>
      </c>
      <c r="J18" s="20">
        <v>43.508000000000003</v>
      </c>
      <c r="K18" s="20">
        <v>34.96</v>
      </c>
      <c r="L18" s="20">
        <v>7.407</v>
      </c>
      <c r="M18" s="20">
        <v>0</v>
      </c>
    </row>
    <row r="19" spans="2:13" x14ac:dyDescent="0.25">
      <c r="B19" s="22">
        <v>4</v>
      </c>
      <c r="C19" s="19">
        <v>44958</v>
      </c>
      <c r="D19" s="20">
        <v>0</v>
      </c>
      <c r="E19" s="20">
        <v>0</v>
      </c>
      <c r="F19" s="20">
        <v>0</v>
      </c>
      <c r="G19" s="20">
        <v>0</v>
      </c>
      <c r="H19" s="20">
        <v>0.25800000000000001</v>
      </c>
      <c r="I19" s="20">
        <v>4.6269999999999998</v>
      </c>
      <c r="J19" s="20">
        <v>22.466999999999999</v>
      </c>
      <c r="K19" s="20">
        <v>40.908999999999999</v>
      </c>
      <c r="L19" s="20">
        <v>26.584</v>
      </c>
      <c r="M19" s="20">
        <v>5.1550000000000002</v>
      </c>
    </row>
    <row r="24" spans="2:13" x14ac:dyDescent="0.25">
      <c r="B24" s="21"/>
      <c r="C24" s="21" t="s">
        <v>46</v>
      </c>
      <c r="D24" s="21" t="s">
        <v>6</v>
      </c>
      <c r="E24" s="21" t="s">
        <v>7</v>
      </c>
      <c r="F24" s="21" t="s">
        <v>8</v>
      </c>
      <c r="G24" s="21" t="s">
        <v>9</v>
      </c>
      <c r="H24" s="21" t="s">
        <v>10</v>
      </c>
      <c r="I24" s="21" t="s">
        <v>11</v>
      </c>
      <c r="J24" s="21" t="s">
        <v>12</v>
      </c>
      <c r="K24" s="21" t="s">
        <v>13</v>
      </c>
      <c r="L24" s="21" t="s">
        <v>70</v>
      </c>
      <c r="M24" s="21" t="s">
        <v>71</v>
      </c>
    </row>
    <row r="25" spans="2:13" x14ac:dyDescent="0.25">
      <c r="B25" s="22">
        <v>0</v>
      </c>
      <c r="C25" s="19">
        <v>44769</v>
      </c>
      <c r="D25" s="20">
        <v>100</v>
      </c>
      <c r="E25" s="20">
        <v>92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</row>
    <row r="26" spans="2:13" x14ac:dyDescent="0.25">
      <c r="B26" s="22">
        <v>1</v>
      </c>
      <c r="C26" s="19">
        <v>44825</v>
      </c>
      <c r="D26" s="20">
        <v>100</v>
      </c>
      <c r="E26" s="20">
        <v>100</v>
      </c>
      <c r="F26" s="20">
        <v>100</v>
      </c>
      <c r="G26" s="20">
        <v>95.33</v>
      </c>
      <c r="H26" s="20">
        <v>38.270000000000003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</row>
    <row r="27" spans="2:13" x14ac:dyDescent="0.25">
      <c r="B27" s="22">
        <v>2</v>
      </c>
      <c r="C27" s="19">
        <v>44867</v>
      </c>
      <c r="D27" s="20">
        <v>100</v>
      </c>
      <c r="E27" s="20">
        <v>100</v>
      </c>
      <c r="F27" s="20">
        <v>100</v>
      </c>
      <c r="G27" s="20">
        <v>100</v>
      </c>
      <c r="H27" s="20">
        <v>98.86</v>
      </c>
      <c r="I27" s="20">
        <v>81.41</v>
      </c>
      <c r="J27" s="20">
        <v>28.93</v>
      </c>
      <c r="K27" s="20">
        <v>0</v>
      </c>
      <c r="L27" s="20">
        <v>0</v>
      </c>
      <c r="M27" s="20">
        <v>0</v>
      </c>
    </row>
    <row r="28" spans="2:13" x14ac:dyDescent="0.25">
      <c r="B28" s="22">
        <v>3</v>
      </c>
      <c r="C28" s="19">
        <v>44909</v>
      </c>
      <c r="D28" s="20">
        <v>100</v>
      </c>
      <c r="E28" s="20">
        <v>100</v>
      </c>
      <c r="F28" s="20">
        <v>100</v>
      </c>
      <c r="G28" s="20">
        <v>100</v>
      </c>
      <c r="H28" s="20">
        <v>100</v>
      </c>
      <c r="I28" s="20">
        <v>99.15</v>
      </c>
      <c r="J28" s="20">
        <v>85.88</v>
      </c>
      <c r="K28" s="20">
        <v>42.37</v>
      </c>
      <c r="L28" s="20">
        <v>7.41</v>
      </c>
      <c r="M28" s="20">
        <v>0</v>
      </c>
    </row>
    <row r="29" spans="2:13" x14ac:dyDescent="0.25">
      <c r="B29" s="22">
        <v>4</v>
      </c>
      <c r="C29" s="19">
        <v>44958</v>
      </c>
      <c r="D29" s="20">
        <v>100</v>
      </c>
      <c r="E29" s="20">
        <v>100</v>
      </c>
      <c r="F29" s="20">
        <v>100</v>
      </c>
      <c r="G29" s="20">
        <v>100</v>
      </c>
      <c r="H29" s="20">
        <v>100</v>
      </c>
      <c r="I29" s="20">
        <v>99.74</v>
      </c>
      <c r="J29" s="20">
        <v>95.12</v>
      </c>
      <c r="K29" s="20">
        <v>72.650000000000006</v>
      </c>
      <c r="L29" s="20">
        <v>31.74</v>
      </c>
      <c r="M29" s="20">
        <v>5.16</v>
      </c>
    </row>
  </sheetData>
  <pageMargins left="0.7" right="0.7" top="0.75" bottom="0.75" header="0.3" footer="0.3"/>
  <pageSetup orientation="portrait" r:id="rId1"/>
  <headerFooter>
    <oddFooter>&amp;C&amp;1#&amp;"Calibri"&amp;8&amp;K000000Classification: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64AD-5BB7-4107-B5DD-5126993628D4}">
  <sheetPr codeName="Sheet3">
    <tabColor theme="7" tint="0.59999389629810485"/>
  </sheetPr>
  <dimension ref="A1:B4"/>
  <sheetViews>
    <sheetView workbookViewId="0">
      <selection activeCell="H15" sqref="H15"/>
    </sheetView>
  </sheetViews>
  <sheetFormatPr defaultRowHeight="15" x14ac:dyDescent="0.25"/>
  <cols>
    <col min="1" max="1" width="13.140625" bestFit="1" customWidth="1"/>
  </cols>
  <sheetData>
    <row r="1" spans="1:2" x14ac:dyDescent="0.25">
      <c r="A1" t="s">
        <v>34</v>
      </c>
      <c r="B1" t="s">
        <v>53</v>
      </c>
    </row>
    <row r="2" spans="1:2" x14ac:dyDescent="0.25">
      <c r="A2" t="s">
        <v>35</v>
      </c>
      <c r="B2" t="s">
        <v>38</v>
      </c>
    </row>
    <row r="3" spans="1:2" x14ac:dyDescent="0.25">
      <c r="A3" t="s">
        <v>36</v>
      </c>
      <c r="B3" t="s">
        <v>39</v>
      </c>
    </row>
    <row r="4" spans="1:2" x14ac:dyDescent="0.25">
      <c r="A4" t="s">
        <v>37</v>
      </c>
      <c r="B4" t="s">
        <v>40</v>
      </c>
    </row>
  </sheetData>
  <pageMargins left="0.7" right="0.7" top="0.75" bottom="0.75" header="0.3" footer="0.3"/>
  <pageSetup orientation="portrait" r:id="rId1"/>
  <headerFooter>
    <oddFooter>&amp;C&amp;1#&amp;"Calibri"&amp;8&amp;K000000Classification: Internal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65002-CC9D-48BB-9AED-1CDF5B22FEDB}">
  <sheetPr codeName="Sheet4">
    <tabColor theme="5" tint="0.39997558519241921"/>
  </sheetPr>
  <dimension ref="A1:E6"/>
  <sheetViews>
    <sheetView workbookViewId="0">
      <selection sqref="A1:B5"/>
    </sheetView>
  </sheetViews>
  <sheetFormatPr defaultRowHeight="15" x14ac:dyDescent="0.25"/>
  <cols>
    <col min="1" max="1" width="35" bestFit="1" customWidth="1"/>
    <col min="2" max="2" width="27.5703125" bestFit="1" customWidth="1"/>
    <col min="5" max="5" width="27.140625" bestFit="1" customWidth="1"/>
  </cols>
  <sheetData>
    <row r="1" spans="1:5" x14ac:dyDescent="0.25">
      <c r="A1" t="s">
        <v>56</v>
      </c>
      <c r="B1" t="s">
        <v>36</v>
      </c>
      <c r="E1" t="s">
        <v>59</v>
      </c>
    </row>
    <row r="2" spans="1:5" x14ac:dyDescent="0.25">
      <c r="A2" t="s">
        <v>55</v>
      </c>
      <c r="B2" t="s">
        <v>39</v>
      </c>
      <c r="E2" t="s">
        <v>62</v>
      </c>
    </row>
    <row r="3" spans="1:5" x14ac:dyDescent="0.25">
      <c r="A3" t="s">
        <v>54</v>
      </c>
      <c r="B3" t="s">
        <v>52</v>
      </c>
      <c r="E3" t="s">
        <v>61</v>
      </c>
    </row>
    <row r="4" spans="1:5" x14ac:dyDescent="0.25">
      <c r="A4" t="s">
        <v>57</v>
      </c>
      <c r="B4" s="27" t="s">
        <v>65</v>
      </c>
      <c r="E4" t="s">
        <v>63</v>
      </c>
    </row>
    <row r="5" spans="1:5" x14ac:dyDescent="0.25">
      <c r="A5" t="s">
        <v>58</v>
      </c>
      <c r="B5" s="27" t="s">
        <v>64</v>
      </c>
      <c r="E5" t="s">
        <v>60</v>
      </c>
    </row>
    <row r="6" spans="1:5" x14ac:dyDescent="0.25">
      <c r="E6" s="28"/>
    </row>
  </sheetData>
  <pageMargins left="0.7" right="0.7" top="0.75" bottom="0.75" header="0.3" footer="0.3"/>
  <pageSetup orientation="portrait" r:id="rId1"/>
  <headerFooter>
    <oddFooter>&amp;C&amp;1#&amp;"Calibri"&amp;8&amp;K000000Classification: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Monitor</vt:lpstr>
      <vt:lpstr>BBG_Data</vt:lpstr>
      <vt:lpstr>xlwings.conf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Momsen, Alexander</dc:creator>
  <cp:lastModifiedBy>Labhishetty, Sachin</cp:lastModifiedBy>
  <dcterms:created xsi:type="dcterms:W3CDTF">2022-04-26T14:35:27Z</dcterms:created>
  <dcterms:modified xsi:type="dcterms:W3CDTF">2022-06-15T18:23:19Z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d1abddc-e309-4823-8367-94170e9d3518_Enabled">
    <vt:lpwstr>true</vt:lpwstr>
  </property>
  <property fmtid="{D5CDD505-2E9C-101B-9397-08002B2CF9AE}" pid="3" name="MSIP_Label_1d1abddc-e309-4823-8367-94170e9d3518_SetDate">
    <vt:lpwstr>2022-06-15T18:23:19Z</vt:lpwstr>
  </property>
  <property fmtid="{D5CDD505-2E9C-101B-9397-08002B2CF9AE}" pid="4" name="MSIP_Label_1d1abddc-e309-4823-8367-94170e9d3518_Method">
    <vt:lpwstr>Standard</vt:lpwstr>
  </property>
  <property fmtid="{D5CDD505-2E9C-101B-9397-08002B2CF9AE}" pid="5" name="MSIP_Label_1d1abddc-e309-4823-8367-94170e9d3518_Name">
    <vt:lpwstr>Internal Use</vt:lpwstr>
  </property>
  <property fmtid="{D5CDD505-2E9C-101B-9397-08002B2CF9AE}" pid="6" name="MSIP_Label_1d1abddc-e309-4823-8367-94170e9d3518_SiteId">
    <vt:lpwstr>cfddba29-ca2a-450c-a415-595e7fcce8e5</vt:lpwstr>
  </property>
  <property fmtid="{D5CDD505-2E9C-101B-9397-08002B2CF9AE}" pid="7" name="MSIP_Label_1d1abddc-e309-4823-8367-94170e9d3518_ActionId">
    <vt:lpwstr>a6c80640-77a2-4fc6-90a0-41d7b24cb3d2</vt:lpwstr>
  </property>
  <property fmtid="{D5CDD505-2E9C-101B-9397-08002B2CF9AE}" pid="8" name="MSIP_Label_1d1abddc-e309-4823-8367-94170e9d3518_ContentBits">
    <vt:lpwstr>2</vt:lpwstr>
  </property>
</Properties>
</file>