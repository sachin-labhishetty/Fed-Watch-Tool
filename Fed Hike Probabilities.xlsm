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sk Management\Market_Risk\Fifth Third Securities\Reports\Daily Risk Report 3\Troubleshooting Tools\"/>
    </mc:Choice>
  </mc:AlternateContent>
  <xr:revisionPtr revIDLastSave="0" documentId="13_ncr:1_{7038575D-13E9-4918-BB48-C62F5CE5BA0E}" xr6:coauthVersionLast="47" xr6:coauthVersionMax="47" xr10:uidLastSave="{00000000-0000-0000-0000-000000000000}"/>
  <bookViews>
    <workbookView xWindow="-120" yWindow="-120" windowWidth="77040" windowHeight="21240" xr2:uid="{93E050E8-AA3C-4D14-A576-7DCB10047CF7}"/>
  </bookViews>
  <sheets>
    <sheet name="Monitor" sheetId="1" r:id="rId1"/>
    <sheet name="BBG_Data" sheetId="2" r:id="rId2"/>
    <sheet name="xlwings.conf" sheetId="3" r:id="rId3"/>
    <sheet name="Help" sheetId="4" r:id="rId4"/>
  </sheets>
  <functionGroups builtInGroupCount="19">
    <functionGroup name="Bloomberg"/>
  </functionGroup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7" i="1" l="1"/>
  <c r="C26" i="1"/>
  <c r="C25" i="1"/>
  <c r="C24" i="1"/>
  <c r="C23" i="1"/>
  <c r="C22" i="1"/>
  <c r="C21" i="1"/>
  <c r="C20" i="1"/>
  <c r="C19" i="1"/>
  <c r="C18" i="1"/>
  <c r="C17" i="1"/>
  <c r="C16" i="1"/>
  <c r="C15" i="1"/>
  <c r="T27" i="1"/>
  <c r="S27" i="1" s="1"/>
  <c r="R27" i="1" s="1"/>
  <c r="Q27" i="1" s="1"/>
  <c r="P27" i="1" s="1"/>
  <c r="O27" i="1" s="1"/>
  <c r="N27" i="1" s="1"/>
  <c r="M27" i="1" s="1"/>
  <c r="L27" i="1" s="1"/>
  <c r="K27" i="1" s="1"/>
  <c r="J27" i="1" s="1"/>
  <c r="T26" i="1"/>
  <c r="S26" i="1" s="1"/>
  <c r="R26" i="1" s="1"/>
  <c r="Q26" i="1" s="1"/>
  <c r="P26" i="1" s="1"/>
  <c r="O26" i="1" s="1"/>
  <c r="N26" i="1" s="1"/>
  <c r="M26" i="1" s="1"/>
  <c r="L26" i="1" s="1"/>
  <c r="K26" i="1" s="1"/>
  <c r="J26" i="1" s="1"/>
  <c r="T25" i="1"/>
  <c r="S25" i="1" s="1"/>
  <c r="R25" i="1" s="1"/>
  <c r="Q25" i="1" s="1"/>
  <c r="P25" i="1" s="1"/>
  <c r="O25" i="1" s="1"/>
  <c r="N25" i="1" s="1"/>
  <c r="M25" i="1" s="1"/>
  <c r="L25" i="1" s="1"/>
  <c r="K25" i="1" s="1"/>
  <c r="J25" i="1" s="1"/>
  <c r="T24" i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T23" i="1"/>
  <c r="S23" i="1" s="1"/>
  <c r="R23" i="1" s="1"/>
  <c r="Q23" i="1" s="1"/>
  <c r="P23" i="1" s="1"/>
  <c r="O23" i="1" s="1"/>
  <c r="N23" i="1" s="1"/>
  <c r="M23" i="1" s="1"/>
  <c r="L23" i="1" s="1"/>
  <c r="K23" i="1" s="1"/>
  <c r="J23" i="1" s="1"/>
  <c r="T22" i="1"/>
  <c r="S22" i="1" s="1"/>
  <c r="R22" i="1" s="1"/>
  <c r="Q22" i="1" s="1"/>
  <c r="P22" i="1" s="1"/>
  <c r="O22" i="1" s="1"/>
  <c r="N22" i="1" s="1"/>
  <c r="M22" i="1" s="1"/>
  <c r="L22" i="1" s="1"/>
  <c r="K22" i="1" s="1"/>
  <c r="J22" i="1" s="1"/>
  <c r="T21" i="1"/>
  <c r="S21" i="1" s="1"/>
  <c r="R21" i="1" s="1"/>
  <c r="Q21" i="1" s="1"/>
  <c r="P21" i="1" s="1"/>
  <c r="O21" i="1" s="1"/>
  <c r="N21" i="1" s="1"/>
  <c r="M21" i="1" s="1"/>
  <c r="L21" i="1" s="1"/>
  <c r="K21" i="1" s="1"/>
  <c r="J21" i="1" s="1"/>
  <c r="T20" i="1"/>
  <c r="S20" i="1" s="1"/>
  <c r="R20" i="1" s="1"/>
  <c r="Q20" i="1" s="1"/>
  <c r="P20" i="1" s="1"/>
  <c r="O20" i="1" s="1"/>
  <c r="N20" i="1" s="1"/>
  <c r="M20" i="1" s="1"/>
  <c r="L20" i="1" s="1"/>
  <c r="K20" i="1" s="1"/>
  <c r="J20" i="1" s="1"/>
  <c r="T19" i="1"/>
  <c r="S19" i="1" s="1"/>
  <c r="R19" i="1" s="1"/>
  <c r="Q19" i="1" s="1"/>
  <c r="P19" i="1" s="1"/>
  <c r="O19" i="1" s="1"/>
  <c r="N19" i="1" s="1"/>
  <c r="M19" i="1" s="1"/>
  <c r="L19" i="1" s="1"/>
  <c r="K19" i="1" s="1"/>
  <c r="J19" i="1" s="1"/>
  <c r="T18" i="1"/>
  <c r="S18" i="1" s="1"/>
  <c r="R18" i="1" s="1"/>
  <c r="Q18" i="1" s="1"/>
  <c r="P18" i="1" s="1"/>
  <c r="O18" i="1" s="1"/>
  <c r="N18" i="1" s="1"/>
  <c r="M18" i="1" s="1"/>
  <c r="L18" i="1" s="1"/>
  <c r="K18" i="1" s="1"/>
  <c r="J18" i="1" s="1"/>
  <c r="T17" i="1"/>
  <c r="S17" i="1" s="1"/>
  <c r="R17" i="1" s="1"/>
  <c r="Q17" i="1" s="1"/>
  <c r="P17" i="1" s="1"/>
  <c r="O17" i="1" s="1"/>
  <c r="N17" i="1" s="1"/>
  <c r="M17" i="1" s="1"/>
  <c r="L17" i="1" s="1"/>
  <c r="K17" i="1" s="1"/>
  <c r="J17" i="1" s="1"/>
  <c r="T16" i="1"/>
  <c r="S16" i="1" s="1"/>
  <c r="R16" i="1" s="1"/>
  <c r="Q16" i="1" s="1"/>
  <c r="P16" i="1" s="1"/>
  <c r="O16" i="1" s="1"/>
  <c r="N16" i="1" s="1"/>
  <c r="M16" i="1" s="1"/>
  <c r="L16" i="1" s="1"/>
  <c r="K16" i="1" s="1"/>
  <c r="J16" i="1" s="1"/>
  <c r="T15" i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B28" i="1"/>
</calcChain>
</file>

<file path=xl/sharedStrings.xml><?xml version="1.0" encoding="utf-8"?>
<sst xmlns="http://schemas.openxmlformats.org/spreadsheetml/2006/main" count="158" uniqueCount="76">
  <si>
    <t>50-75</t>
  </si>
  <si>
    <t>75-100</t>
  </si>
  <si>
    <t>100-125</t>
  </si>
  <si>
    <t>125-150</t>
  </si>
  <si>
    <t>150-175</t>
  </si>
  <si>
    <t>175-200</t>
  </si>
  <si>
    <t>200-225</t>
  </si>
  <si>
    <t>225-250</t>
  </si>
  <si>
    <t>250-275</t>
  </si>
  <si>
    <t>275-300</t>
  </si>
  <si>
    <t>300-325</t>
  </si>
  <si>
    <t>325-350</t>
  </si>
  <si>
    <t>350-375</t>
  </si>
  <si>
    <t>375-400</t>
  </si>
  <si>
    <t>25-50</t>
  </si>
  <si>
    <t>Hike</t>
  </si>
  <si>
    <t>Cycle Hikes:</t>
  </si>
  <si>
    <t>One</t>
  </si>
  <si>
    <t>Two</t>
  </si>
  <si>
    <t>Three</t>
  </si>
  <si>
    <t>Four</t>
  </si>
  <si>
    <t>Five</t>
  </si>
  <si>
    <t>Six</t>
  </si>
  <si>
    <t>Seven</t>
  </si>
  <si>
    <t>Nine</t>
  </si>
  <si>
    <t>Ten</t>
  </si>
  <si>
    <t>Eleven</t>
  </si>
  <si>
    <t>Twelve</t>
  </si>
  <si>
    <t>Thirteen</t>
  </si>
  <si>
    <t xml:space="preserve">Fourteen </t>
  </si>
  <si>
    <t>Eight</t>
  </si>
  <si>
    <t>Fifteen</t>
  </si>
  <si>
    <t>Bold Indicates 40% to 49% Probability</t>
  </si>
  <si>
    <t>Green Cells Indicate Probabilities Over 50%</t>
  </si>
  <si>
    <t>PYTHONPATH</t>
  </si>
  <si>
    <t>UDF Modules</t>
  </si>
  <si>
    <t>Conda Path</t>
  </si>
  <si>
    <t>Conda Env</t>
  </si>
  <si>
    <t>fed_rate_hike</t>
  </si>
  <si>
    <t>C:\Work\Anaconda</t>
  </si>
  <si>
    <t>base</t>
  </si>
  <si>
    <t>meeting dates</t>
  </si>
  <si>
    <t>#Hike/Cut</t>
  </si>
  <si>
    <t>%Hike/Cut</t>
  </si>
  <si>
    <t>implied rate change</t>
  </si>
  <si>
    <t>implied rate</t>
  </si>
  <si>
    <t>Meeting Date</t>
  </si>
  <si>
    <t>FTS Capital Markets Risk</t>
  </si>
  <si>
    <t xml:space="preserve"> Instructions</t>
  </si>
  <si>
    <t xml:space="preserve"> This tool requires you to be logged into the terminal</t>
  </si>
  <si>
    <t xml:space="preserve"> Ensure xlwings ribbon is displayed on top</t>
  </si>
  <si>
    <t xml:space="preserve"> Additional requirements - pdblp &amp; blpapi libraries</t>
  </si>
  <si>
    <t>C:\Users\e971477\Anaconda3</t>
  </si>
  <si>
    <t>T:\Risk Management\Market_Risk\Fifth Third Securities\Reports\Daily Risk Report 3\Python_codes\fed rate hike probabilities</t>
  </si>
  <si>
    <t>Momsen, Alexander</t>
  </si>
  <si>
    <t>Labhishetty, Sachin</t>
  </si>
  <si>
    <t>User</t>
  </si>
  <si>
    <t>Kupferberg, Adam</t>
  </si>
  <si>
    <t>Greivenkamp, Kyle</t>
  </si>
  <si>
    <t>Email</t>
  </si>
  <si>
    <t>Kyle.Greivenkamp@53.com</t>
  </si>
  <si>
    <t>Alexander.Momsen@53.com</t>
  </si>
  <si>
    <t>Sachin.Labhishetty@53.com</t>
  </si>
  <si>
    <t>Adam.Kupferberg@53.com</t>
  </si>
  <si>
    <t>C:\ProgramData\Anaconda3</t>
  </si>
  <si>
    <t>C:\Users\E983617\Anaconda3</t>
  </si>
  <si>
    <t>Market Expected Fed Funds Target Rates</t>
  </si>
  <si>
    <t>Probable
 25bp Hikes</t>
  </si>
  <si>
    <t>FOMC Meeting</t>
  </si>
  <si>
    <t xml:space="preserve"> Ensure Bloomberg ribbon is displayed on top</t>
  </si>
  <si>
    <t>400-425</t>
  </si>
  <si>
    <t>425-450</t>
  </si>
  <si>
    <t>Sixteen</t>
  </si>
  <si>
    <t>Seventeen</t>
  </si>
  <si>
    <t>Source: Bloomberg WIRP    Data Updated: 07/12/2022 16:45</t>
  </si>
  <si>
    <t>The data is refreshed as of 2022-07-26 13:06:30.469473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</si>
</sst>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6" x14ac:knownFonts="1">
    <font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b/>
      <sz val="8"/>
      <color rgb="FF00B050"/>
      <name val="Arial"/>
      <family val="2"/>
    </font>
    <font>
      <b/>
      <sz val="9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3"/>
      <name val="Calibri"/>
      <family val="2"/>
      <scheme val="minor"/>
    </font>
    <font>
      <sz val="15"/>
      <color theme="1"/>
      <name val="Arial Black"/>
      <family val="2"/>
    </font>
    <font>
      <b/>
      <sz val="11"/>
      <color theme="1"/>
      <name val="Arial Black"/>
      <family val="2"/>
    </font>
    <font>
      <u/>
      <sz val="11"/>
      <color theme="10"/>
      <name val="Calibri"/>
      <family val="2"/>
      <scheme val="minor"/>
    </font>
    <font>
      <i/>
      <sz val="8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8F8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1" fillId="0" borderId="8" applyNumberFormat="0" applyFill="0" applyAlignment="0" applyProtection="0"/>
    <xf numFmtId="0" fontId="14" fillId="0" borderId="0" applyNumberFormat="0" applyFill="0" applyBorder="0" applyAlignment="0" applyProtection="0"/>
  </cellStyleXfs>
  <cellXfs count="68">
    <xf numFmtId="0" fontId="0" fillId="0" borderId="0" xfId="0"/>
    <xf numFmtId="0" fontId="3" fillId="0" borderId="0" xfId="0" applyFont="1"/>
    <xf numFmtId="0" fontId="2" fillId="0" borderId="0" xfId="0" applyFont="1" applyFill="1" applyBorder="1" applyAlignment="1">
      <alignment vertical="center" wrapText="1"/>
    </xf>
    <xf numFmtId="17" fontId="0" fillId="0" borderId="0" xfId="0" quotePrefix="1" applyNumberFormat="1"/>
    <xf numFmtId="0" fontId="0" fillId="0" borderId="0" xfId="0" quotePrefix="1"/>
    <xf numFmtId="2" fontId="2" fillId="3" borderId="1" xfId="0" applyNumberFormat="1" applyFont="1" applyFill="1" applyBorder="1" applyAlignment="1">
      <alignment horizontal="center" vertical="center" wrapText="1"/>
    </xf>
    <xf numFmtId="2" fontId="1" fillId="3" borderId="0" xfId="1" applyNumberFormat="1" applyFont="1" applyFill="1" applyBorder="1" applyAlignment="1">
      <alignment horizontal="center" vertical="center" wrapText="1"/>
    </xf>
    <xf numFmtId="0" fontId="3" fillId="0" borderId="0" xfId="0" applyFont="1" applyBorder="1"/>
    <xf numFmtId="0" fontId="0" fillId="0" borderId="0" xfId="0" applyBorder="1"/>
    <xf numFmtId="9" fontId="1" fillId="4" borderId="0" xfId="0" applyNumberFormat="1" applyFont="1" applyFill="1" applyBorder="1" applyAlignment="1">
      <alignment horizontal="center" vertical="center" wrapText="1"/>
    </xf>
    <xf numFmtId="2" fontId="2" fillId="4" borderId="0" xfId="0" applyNumberFormat="1" applyFont="1" applyFill="1" applyBorder="1" applyAlignment="1">
      <alignment horizontal="center" vertical="center" wrapText="1"/>
    </xf>
    <xf numFmtId="2" fontId="2" fillId="4" borderId="3" xfId="0" applyNumberFormat="1" applyFont="1" applyFill="1" applyBorder="1" applyAlignment="1">
      <alignment horizontal="center" vertical="center" wrapText="1"/>
    </xf>
    <xf numFmtId="9" fontId="1" fillId="4" borderId="2" xfId="0" applyNumberFormat="1" applyFont="1" applyFill="1" applyBorder="1" applyAlignment="1">
      <alignment horizontal="center" vertical="center" wrapText="1"/>
    </xf>
    <xf numFmtId="2" fontId="2" fillId="0" borderId="0" xfId="0" applyNumberFormat="1" applyFont="1" applyFill="1" applyBorder="1" applyAlignment="1">
      <alignment horizontal="center" vertical="center" wrapText="1"/>
    </xf>
    <xf numFmtId="9" fontId="1" fillId="3" borderId="0" xfId="2" applyFont="1" applyFill="1" applyBorder="1" applyAlignment="1">
      <alignment horizontal="center" vertical="center" wrapText="1"/>
    </xf>
    <xf numFmtId="14" fontId="0" fillId="0" borderId="7" xfId="0" applyNumberFormat="1" applyBorder="1"/>
    <xf numFmtId="0" fontId="0" fillId="0" borderId="7" xfId="0" applyBorder="1"/>
    <xf numFmtId="0" fontId="9" fillId="5" borderId="7" xfId="0" applyFont="1" applyFill="1" applyBorder="1"/>
    <xf numFmtId="0" fontId="8" fillId="0" borderId="7" xfId="0" applyFont="1" applyBorder="1"/>
    <xf numFmtId="0" fontId="0" fillId="6" borderId="0" xfId="0" applyFill="1" applyBorder="1"/>
    <xf numFmtId="0" fontId="0" fillId="6" borderId="4" xfId="0" applyFill="1" applyBorder="1"/>
    <xf numFmtId="0" fontId="0" fillId="7" borderId="0" xfId="0" applyFill="1"/>
    <xf numFmtId="0" fontId="13" fillId="0" borderId="0" xfId="0" applyFont="1" applyAlignment="1"/>
    <xf numFmtId="0" fontId="0" fillId="0" borderId="0" xfId="0" applyAlignment="1">
      <alignment wrapText="1"/>
    </xf>
    <xf numFmtId="0" fontId="14" fillId="0" borderId="0" xfId="4"/>
    <xf numFmtId="14" fontId="2" fillId="3" borderId="3" xfId="0" applyNumberFormat="1" applyFont="1" applyFill="1" applyBorder="1" applyAlignment="1">
      <alignment horizontal="right" vertical="center" wrapText="1"/>
    </xf>
    <xf numFmtId="9" fontId="1" fillId="4" borderId="4" xfId="0" applyNumberFormat="1" applyFont="1" applyFill="1" applyBorder="1" applyAlignment="1">
      <alignment horizontal="center" vertical="center" wrapText="1"/>
    </xf>
    <xf numFmtId="9" fontId="1" fillId="3" borderId="4" xfId="2" applyFont="1" applyFill="1" applyBorder="1" applyAlignment="1">
      <alignment horizontal="center" vertical="center" wrapText="1"/>
    </xf>
    <xf numFmtId="9" fontId="1" fillId="3" borderId="6" xfId="0" applyNumberFormat="1" applyFont="1" applyFill="1" applyBorder="1" applyAlignment="1">
      <alignment horizontal="right" vertical="center" wrapText="1"/>
    </xf>
    <xf numFmtId="0" fontId="0" fillId="0" borderId="6" xfId="0" applyBorder="1"/>
    <xf numFmtId="0" fontId="0" fillId="0" borderId="10" xfId="0" applyBorder="1"/>
    <xf numFmtId="0" fontId="3" fillId="0" borderId="11" xfId="0" applyFont="1" applyBorder="1"/>
    <xf numFmtId="0" fontId="5" fillId="0" borderId="1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12" xfId="0" quotePrefix="1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9" fontId="1" fillId="4" borderId="9" xfId="0" applyNumberFormat="1" applyFont="1" applyFill="1" applyBorder="1" applyAlignment="1">
      <alignment horizontal="center" vertical="center" wrapText="1"/>
    </xf>
    <xf numFmtId="14" fontId="2" fillId="3" borderId="11" xfId="0" applyNumberFormat="1" applyFont="1" applyFill="1" applyBorder="1" applyAlignment="1">
      <alignment horizontal="right" vertical="center" wrapText="1"/>
    </xf>
    <xf numFmtId="0" fontId="2" fillId="0" borderId="6" xfId="0" applyFont="1" applyFill="1" applyBorder="1" applyAlignment="1">
      <alignment vertical="center"/>
    </xf>
    <xf numFmtId="2" fontId="1" fillId="3" borderId="12" xfId="1" applyNumberFormat="1" applyFont="1" applyFill="1" applyBorder="1" applyAlignment="1">
      <alignment horizontal="center" vertical="center" wrapText="1"/>
    </xf>
    <xf numFmtId="2" fontId="2" fillId="4" borderId="11" xfId="0" applyNumberFormat="1" applyFont="1" applyFill="1" applyBorder="1" applyAlignment="1">
      <alignment horizontal="center" vertical="center" wrapText="1"/>
    </xf>
    <xf numFmtId="9" fontId="1" fillId="4" borderId="12" xfId="0" applyNumberFormat="1" applyFont="1" applyFill="1" applyBorder="1" applyAlignment="1">
      <alignment horizontal="center" vertical="center" wrapText="1"/>
    </xf>
    <xf numFmtId="9" fontId="1" fillId="3" borderId="12" xfId="2" applyFont="1" applyFill="1" applyBorder="1" applyAlignment="1">
      <alignment horizontal="center" vertical="center" wrapText="1"/>
    </xf>
    <xf numFmtId="9" fontId="1" fillId="3" borderId="13" xfId="2" applyFont="1" applyFill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right" vertical="center" wrapText="1"/>
    </xf>
    <xf numFmtId="2" fontId="1" fillId="3" borderId="2" xfId="1" applyNumberFormat="1" applyFont="1" applyFill="1" applyBorder="1" applyAlignment="1">
      <alignment horizontal="center" vertical="center" wrapText="1"/>
    </xf>
    <xf numFmtId="2" fontId="2" fillId="4" borderId="1" xfId="0" applyNumberFormat="1" applyFont="1" applyFill="1" applyBorder="1" applyAlignment="1">
      <alignment horizontal="center" vertical="center" wrapText="1"/>
    </xf>
    <xf numFmtId="9" fontId="1" fillId="3" borderId="2" xfId="2" applyFont="1" applyFill="1" applyBorder="1" applyAlignment="1">
      <alignment horizontal="center" vertical="center" wrapText="1"/>
    </xf>
    <xf numFmtId="9" fontId="1" fillId="3" borderId="9" xfId="2" applyFont="1" applyFill="1" applyBorder="1" applyAlignment="1">
      <alignment horizontal="center" vertical="center" wrapText="1"/>
    </xf>
    <xf numFmtId="14" fontId="2" fillId="3" borderId="5" xfId="0" applyNumberFormat="1" applyFont="1" applyFill="1" applyBorder="1" applyAlignment="1">
      <alignment horizontal="right" vertical="center" wrapText="1"/>
    </xf>
    <xf numFmtId="2" fontId="1" fillId="3" borderId="6" xfId="1" applyNumberFormat="1" applyFont="1" applyFill="1" applyBorder="1" applyAlignment="1">
      <alignment horizontal="center" vertical="center" wrapText="1"/>
    </xf>
    <xf numFmtId="2" fontId="2" fillId="4" borderId="5" xfId="0" applyNumberFormat="1" applyFont="1" applyFill="1" applyBorder="1" applyAlignment="1">
      <alignment horizontal="center" vertical="center" wrapText="1"/>
    </xf>
    <xf numFmtId="9" fontId="1" fillId="4" borderId="6" xfId="0" applyNumberFormat="1" applyFont="1" applyFill="1" applyBorder="1" applyAlignment="1">
      <alignment horizontal="center" vertical="center" wrapText="1"/>
    </xf>
    <xf numFmtId="9" fontId="1" fillId="3" borderId="6" xfId="2" applyFont="1" applyFill="1" applyBorder="1" applyAlignment="1">
      <alignment horizontal="center" vertical="center" wrapText="1"/>
    </xf>
    <xf numFmtId="9" fontId="1" fillId="3" borderId="10" xfId="2" applyFont="1" applyFill="1" applyBorder="1" applyAlignment="1">
      <alignment horizontal="center" vertical="center" wrapText="1"/>
    </xf>
    <xf numFmtId="14" fontId="15" fillId="3" borderId="5" xfId="0" applyNumberFormat="1" applyFont="1" applyFill="1" applyBorder="1" applyAlignment="1">
      <alignment horizontal="left" vertical="center" wrapText="1"/>
    </xf>
    <xf numFmtId="14" fontId="15" fillId="3" borderId="6" xfId="0" applyNumberFormat="1" applyFont="1" applyFill="1" applyBorder="1" applyAlignment="1">
      <alignment horizontal="left" vertical="center" wrapText="1"/>
    </xf>
    <xf numFmtId="0" fontId="6" fillId="0" borderId="6" xfId="0" applyFont="1" applyFill="1" applyBorder="1" applyAlignment="1">
      <alignment vertical="center"/>
    </xf>
    <xf numFmtId="0" fontId="0" fillId="0" borderId="6" xfId="0" applyBorder="1" applyAlignment="1"/>
    <xf numFmtId="0" fontId="7" fillId="8" borderId="1" xfId="0" applyFont="1" applyFill="1" applyBorder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8" borderId="9" xfId="0" applyFont="1" applyFill="1" applyBorder="1" applyAlignment="1">
      <alignment horizontal="center" vertical="center" wrapText="1"/>
    </xf>
    <xf numFmtId="0" fontId="12" fillId="6" borderId="0" xfId="3" applyFont="1" applyFill="1" applyBorder="1" applyAlignment="1">
      <alignment vertical="center" wrapText="1" readingOrder="1"/>
    </xf>
    <xf numFmtId="0" fontId="0" fillId="6" borderId="0" xfId="0" applyFill="1" applyBorder="1" applyAlignment="1">
      <alignment wrapText="1"/>
    </xf>
    <xf numFmtId="0" fontId="0" fillId="6" borderId="4" xfId="0" applyFill="1" applyBorder="1" applyAlignment="1">
      <alignment wrapText="1"/>
    </xf>
  </cellXfs>
  <cellStyles count="5">
    <cellStyle name="Comma" xfId="1" builtinId="3"/>
    <cellStyle name="Heading 1" xfId="3" builtinId="16"/>
    <cellStyle name="Hyperlink" xfId="4" builtinId="8"/>
    <cellStyle name="Normal" xfId="0" builtinId="0"/>
    <cellStyle name="Percent" xfId="2" builtinId="5"/>
  </cellStyles>
  <dxfs count="20"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</xdr:row>
          <xdr:rowOff>9525</xdr:rowOff>
        </xdr:from>
        <xdr:to>
          <xdr:col>15</xdr:col>
          <xdr:colOff>400050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Fed Hike/Cut Probabilities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</xdr:row>
          <xdr:rowOff>9525</xdr:rowOff>
        </xdr:from>
        <xdr:to>
          <xdr:col>19</xdr:col>
          <xdr:colOff>0</xdr:colOff>
          <xdr:row>4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251C3-1BA8-436F-B10A-37D93BD5619C}">
  <sheetPr codeName="Sheet1">
    <tabColor theme="8" tint="0.39997558519241921"/>
  </sheetPr>
  <dimension ref="A1:U49"/>
  <sheetViews>
    <sheetView showGridLines="0" tabSelected="1" zoomScaleNormal="100" workbookViewId="0">
      <selection activeCell="L4" sqref="L4"/>
    </sheetView>
  </sheetViews>
  <sheetFormatPr defaultRowHeight="15" x14ac:dyDescent="0.25"/>
  <cols>
    <col min="1" max="1" width="1.5703125" customWidth="1"/>
    <col min="3" max="3" width="12.85546875" bestFit="1" customWidth="1"/>
    <col min="4" max="4" width="9.7109375" customWidth="1"/>
    <col min="5" max="19" width="8.28515625" customWidth="1"/>
  </cols>
  <sheetData>
    <row r="1" spans="1:21" ht="18.75" x14ac:dyDescent="0.4">
      <c r="A1" s="19"/>
      <c r="B1" s="19"/>
      <c r="C1" s="19"/>
      <c r="D1" s="19"/>
      <c r="E1" s="20"/>
      <c r="F1" s="22" t="s">
        <v>48</v>
      </c>
    </row>
    <row r="2" spans="1:21" ht="15.75" customHeight="1" x14ac:dyDescent="0.25">
      <c r="A2" s="19"/>
      <c r="B2" s="65" t="s">
        <v>47</v>
      </c>
      <c r="C2" s="66"/>
      <c r="D2" s="66"/>
      <c r="E2" s="67"/>
      <c r="F2" t="s">
        <v>49</v>
      </c>
    </row>
    <row r="3" spans="1:21" ht="15.75" customHeight="1" x14ac:dyDescent="0.25">
      <c r="A3" s="19"/>
      <c r="B3" s="66"/>
      <c r="C3" s="66"/>
      <c r="D3" s="66"/>
      <c r="E3" s="67"/>
      <c r="F3" t="s">
        <v>50</v>
      </c>
    </row>
    <row r="4" spans="1:21" ht="15.75" customHeight="1" x14ac:dyDescent="0.25">
      <c r="A4" s="19"/>
      <c r="B4" s="66"/>
      <c r="C4" s="66"/>
      <c r="D4" s="66"/>
      <c r="E4" s="67"/>
      <c r="F4" t="s">
        <v>69</v>
      </c>
    </row>
    <row r="5" spans="1:21" ht="15.75" customHeight="1" x14ac:dyDescent="0.25">
      <c r="A5" s="19"/>
      <c r="B5" s="66"/>
      <c r="C5" s="66"/>
      <c r="D5" s="66"/>
      <c r="E5" s="67"/>
      <c r="F5" t="s">
        <v>51</v>
      </c>
    </row>
    <row r="6" spans="1:21" x14ac:dyDescent="0.25">
      <c r="A6" s="19"/>
      <c r="B6" s="19"/>
      <c r="C6" s="19"/>
      <c r="D6" s="19"/>
      <c r="E6" s="20"/>
    </row>
    <row r="7" spans="1:21" s="21" customFormat="1" x14ac:dyDescent="0.25"/>
    <row r="8" spans="1:21" ht="7.5" customHeight="1" x14ac:dyDescent="0.25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21" ht="15.75" customHeight="1" x14ac:dyDescent="0.25">
      <c r="B9" s="62" t="s">
        <v>66</v>
      </c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4"/>
    </row>
    <row r="10" spans="1:21" ht="22.5" x14ac:dyDescent="0.25">
      <c r="B10" s="31"/>
      <c r="C10" s="32" t="s">
        <v>16</v>
      </c>
      <c r="D10" s="33" t="s">
        <v>17</v>
      </c>
      <c r="E10" s="33" t="s">
        <v>18</v>
      </c>
      <c r="F10" s="33" t="s">
        <v>19</v>
      </c>
      <c r="G10" s="33" t="s">
        <v>20</v>
      </c>
      <c r="H10" s="33" t="s">
        <v>21</v>
      </c>
      <c r="I10" s="33" t="s">
        <v>22</v>
      </c>
      <c r="J10" s="33" t="s">
        <v>23</v>
      </c>
      <c r="K10" s="33" t="s">
        <v>30</v>
      </c>
      <c r="L10" s="33" t="s">
        <v>24</v>
      </c>
      <c r="M10" s="33" t="s">
        <v>25</v>
      </c>
      <c r="N10" s="33" t="s">
        <v>26</v>
      </c>
      <c r="O10" s="33" t="s">
        <v>27</v>
      </c>
      <c r="P10" s="33" t="s">
        <v>28</v>
      </c>
      <c r="Q10" s="33" t="s">
        <v>29</v>
      </c>
      <c r="R10" s="33" t="s">
        <v>31</v>
      </c>
      <c r="S10" s="33" t="s">
        <v>72</v>
      </c>
      <c r="T10" s="34" t="s">
        <v>73</v>
      </c>
    </row>
    <row r="11" spans="1:21" ht="22.5" x14ac:dyDescent="0.25">
      <c r="B11" s="35" t="s">
        <v>68</v>
      </c>
      <c r="C11" s="36" t="s">
        <v>67</v>
      </c>
      <c r="D11" s="36" t="s">
        <v>14</v>
      </c>
      <c r="E11" s="37" t="s">
        <v>0</v>
      </c>
      <c r="F11" s="37" t="s">
        <v>1</v>
      </c>
      <c r="G11" s="37" t="s">
        <v>2</v>
      </c>
      <c r="H11" s="36" t="s">
        <v>3</v>
      </c>
      <c r="I11" s="36" t="s">
        <v>4</v>
      </c>
      <c r="J11" s="36" t="s">
        <v>5</v>
      </c>
      <c r="K11" s="36" t="s">
        <v>6</v>
      </c>
      <c r="L11" s="36" t="s">
        <v>7</v>
      </c>
      <c r="M11" s="36" t="s">
        <v>8</v>
      </c>
      <c r="N11" s="36" t="s">
        <v>9</v>
      </c>
      <c r="O11" s="36" t="s">
        <v>10</v>
      </c>
      <c r="P11" s="36" t="s">
        <v>11</v>
      </c>
      <c r="Q11" s="36" t="s">
        <v>12</v>
      </c>
      <c r="R11" s="36" t="s">
        <v>13</v>
      </c>
      <c r="S11" s="36" t="s">
        <v>70</v>
      </c>
      <c r="T11" s="38" t="s">
        <v>71</v>
      </c>
    </row>
    <row r="12" spans="1:21" x14ac:dyDescent="0.25">
      <c r="B12" s="25">
        <v>44636</v>
      </c>
      <c r="C12" s="6"/>
      <c r="D12" s="5" t="s">
        <v>15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39"/>
    </row>
    <row r="13" spans="1:21" x14ac:dyDescent="0.25">
      <c r="B13" s="25">
        <v>44685</v>
      </c>
      <c r="C13" s="6"/>
      <c r="D13" s="11"/>
      <c r="E13" s="13" t="s">
        <v>15</v>
      </c>
      <c r="F13" s="13" t="s">
        <v>15</v>
      </c>
      <c r="G13" s="10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26"/>
      <c r="U13" s="3"/>
    </row>
    <row r="14" spans="1:21" x14ac:dyDescent="0.25">
      <c r="B14" s="25">
        <v>44727</v>
      </c>
      <c r="C14" s="6"/>
      <c r="D14" s="11"/>
      <c r="E14" s="9"/>
      <c r="F14" s="9"/>
      <c r="G14" s="13" t="s">
        <v>15</v>
      </c>
      <c r="H14" s="13" t="s">
        <v>15</v>
      </c>
      <c r="I14" s="13" t="s">
        <v>15</v>
      </c>
      <c r="J14" s="10"/>
      <c r="K14" s="9"/>
      <c r="L14" s="9"/>
      <c r="M14" s="9"/>
      <c r="N14" s="9"/>
      <c r="O14" s="9"/>
      <c r="P14" s="9"/>
      <c r="Q14" s="9"/>
      <c r="R14" s="9"/>
      <c r="S14" s="9"/>
      <c r="T14" s="26"/>
      <c r="U14" s="4"/>
    </row>
    <row r="15" spans="1:21" x14ac:dyDescent="0.25">
      <c r="B15" s="25">
        <v>44769</v>
      </c>
      <c r="C15" s="6">
        <f>VLOOKUP(B15,BBG_Data!$C$4:$E$20,3,0)/100</f>
        <v>3.1280000000000001</v>
      </c>
      <c r="D15" s="11"/>
      <c r="E15" s="9"/>
      <c r="F15" s="9"/>
      <c r="G15" s="9"/>
      <c r="H15" s="9"/>
      <c r="I15" s="9"/>
      <c r="J15" s="14">
        <f>IFERROR(INDEX(BBG_Data!$B$63:$AA$75,MATCH(Monitor!$B15,BBG_Data!$C$63:$C$75,0),MATCH(Monitor!J$11,BBG_Data!$B$63:$AA$63,0))/100,IF(K15=1,1,0))</f>
        <v>1</v>
      </c>
      <c r="K15" s="14">
        <f>IFERROR(INDEX(BBG_Data!$B$63:$AA$75,MATCH(Monitor!$B15,BBG_Data!$C$63:$C$75,0),MATCH(Monitor!K$11,BBG_Data!$B$63:$AA$63,0))/100,IF(L15=1,1,0))</f>
        <v>1</v>
      </c>
      <c r="L15" s="14">
        <f>IFERROR(INDEX(BBG_Data!$B$63:$AA$75,MATCH(Monitor!$B15,BBG_Data!$C$63:$C$75,0),MATCH(Monitor!L$11,BBG_Data!$B$63:$AA$63,0))/100,IF(M15=1,1,0))</f>
        <v>1</v>
      </c>
      <c r="M15" s="14">
        <f>IFERROR(INDEX(BBG_Data!$B$63:$AA$75,MATCH(Monitor!$B15,BBG_Data!$C$63:$C$75,0),MATCH(Monitor!M$11,BBG_Data!$B$63:$AA$63,0))/100,IF(N15=1,1,0))</f>
        <v>0.128</v>
      </c>
      <c r="N15" s="14">
        <f>IFERROR(INDEX(BBG_Data!$B$63:$AA$75,MATCH(Monitor!$B15,BBG_Data!$C$63:$C$75,0),MATCH(Monitor!N$11,BBG_Data!$B$63:$AA$63,0))/100,IF(O15=1,1,0))</f>
        <v>0</v>
      </c>
      <c r="O15" s="14">
        <f>IFERROR(INDEX(BBG_Data!$B$63:$AA$75,MATCH(Monitor!$B15,BBG_Data!$C$63:$C$75,0),MATCH(Monitor!O$11,BBG_Data!$B$63:$AA$63,0))/100,IF(P15=1,1,0))</f>
        <v>0</v>
      </c>
      <c r="P15" s="14">
        <f>IFERROR(INDEX(BBG_Data!$B$63:$AA$75,MATCH(Monitor!$B15,BBG_Data!$C$63:$C$75,0),MATCH(Monitor!P$11,BBG_Data!$B$63:$AA$63,0))/100,IF(Q15=1,1,0))</f>
        <v>0</v>
      </c>
      <c r="Q15" s="14">
        <f>IFERROR(INDEX(BBG_Data!$B$63:$AA$75,MATCH(Monitor!$B15,BBG_Data!$C$63:$C$75,0),MATCH(Monitor!Q$11,BBG_Data!$B$63:$AA$63,0))/100,IF(R15=1,1,0))</f>
        <v>0</v>
      </c>
      <c r="R15" s="14">
        <f>IFERROR(INDEX(BBG_Data!$B$63:$AA$75,MATCH(Monitor!$B15,BBG_Data!$C$63:$C$75,0),MATCH(Monitor!R$11,BBG_Data!$B$63:$AA$63,0))/100,IF(S15=1,1,0))</f>
        <v>0</v>
      </c>
      <c r="S15" s="14">
        <f>IFERROR(INDEX(BBG_Data!$B$63:$AA$75,MATCH(Monitor!$B15,BBG_Data!$C$63:$C$75,0),MATCH(Monitor!S$11,BBG_Data!$B$63:$AA$63,0))/100,IF(T15=1,1,0))</f>
        <v>0</v>
      </c>
      <c r="T15" s="27">
        <f>IFERROR(INDEX(BBG_Data!$B$63:$AA$75,MATCH(Monitor!$B15,BBG_Data!$C$63:$C$75,0),MATCH(Monitor!T$11,BBG_Data!$B$63:$AA$63,0))/100,IF(U15=1,1,0))</f>
        <v>0</v>
      </c>
    </row>
    <row r="16" spans="1:21" x14ac:dyDescent="0.25">
      <c r="B16" s="25">
        <v>44825</v>
      </c>
      <c r="C16" s="6">
        <f>VLOOKUP(B16,BBG_Data!$C$4:$E$20,3,0)/100</f>
        <v>2.3279999999999994</v>
      </c>
      <c r="D16" s="11"/>
      <c r="E16" s="9"/>
      <c r="F16" s="9"/>
      <c r="G16" s="9"/>
      <c r="H16" s="9"/>
      <c r="I16" s="9"/>
      <c r="J16" s="14">
        <f>IFERROR(INDEX(BBG_Data!$B$63:$AA$75,MATCH(Monitor!$B16,BBG_Data!$C$63:$C$75,0),MATCH(Monitor!J$11,BBG_Data!$B$63:$AA$63,0))/100,IF(K16=1,1,0))</f>
        <v>1</v>
      </c>
      <c r="K16" s="14">
        <f>IFERROR(INDEX(BBG_Data!$B$63:$AA$75,MATCH(Monitor!$B16,BBG_Data!$C$63:$C$75,0),MATCH(Monitor!K$11,BBG_Data!$B$63:$AA$63,0))/100,IF(L16=1,1,0))</f>
        <v>1</v>
      </c>
      <c r="L16" s="14">
        <f>IFERROR(INDEX(BBG_Data!$B$63:$AA$75,MATCH(Monitor!$B16,BBG_Data!$C$63:$C$75,0),MATCH(Monitor!L$11,BBG_Data!$B$63:$AA$63,0))/100,IF(M16=1,1,0))</f>
        <v>1</v>
      </c>
      <c r="M16" s="14">
        <f>IFERROR(INDEX(BBG_Data!$B$63:$AA$75,MATCH(Monitor!$B16,BBG_Data!$C$63:$C$75,0),MATCH(Monitor!M$11,BBG_Data!$B$63:$AA$63,0))/100,IF(N16=1,1,0))</f>
        <v>1</v>
      </c>
      <c r="N16" s="14">
        <f>IFERROR(INDEX(BBG_Data!$B$63:$AA$75,MATCH(Monitor!$B16,BBG_Data!$C$63:$C$75,0),MATCH(Monitor!N$11,BBG_Data!$B$63:$AA$63,0))/100,IF(O16=1,1,0))</f>
        <v>1</v>
      </c>
      <c r="O16" s="14">
        <f>IFERROR(INDEX(BBG_Data!$B$63:$AA$75,MATCH(Monitor!$B16,BBG_Data!$C$63:$C$75,0),MATCH(Monitor!O$11,BBG_Data!$B$63:$AA$63,0))/100,IF(P16=1,1,0))</f>
        <v>0.41399999999999998</v>
      </c>
      <c r="P16" s="14">
        <f>IFERROR(INDEX(BBG_Data!$B$63:$AA$75,MATCH(Monitor!$B16,BBG_Data!$C$63:$C$75,0),MATCH(Monitor!P$11,BBG_Data!$B$63:$AA$63,0))/100,IF(Q16=1,1,0))</f>
        <v>4.2000000000000003E-2</v>
      </c>
      <c r="Q16" s="14">
        <f>IFERROR(INDEX(BBG_Data!$B$63:$AA$75,MATCH(Monitor!$B16,BBG_Data!$C$63:$C$75,0),MATCH(Monitor!Q$11,BBG_Data!$B$63:$AA$63,0))/100,IF(R16=1,1,0))</f>
        <v>0</v>
      </c>
      <c r="R16" s="14">
        <f>IFERROR(INDEX(BBG_Data!$B$63:$AA$75,MATCH(Monitor!$B16,BBG_Data!$C$63:$C$75,0),MATCH(Monitor!R$11,BBG_Data!$B$63:$AA$63,0))/100,IF(S16=1,1,0))</f>
        <v>0</v>
      </c>
      <c r="S16" s="14">
        <f>IFERROR(INDEX(BBG_Data!$B$63:$AA$75,MATCH(Monitor!$B16,BBG_Data!$C$63:$C$75,0),MATCH(Monitor!S$11,BBG_Data!$B$63:$AA$63,0))/100,IF(T16=1,1,0))</f>
        <v>0</v>
      </c>
      <c r="T16" s="27">
        <f>IFERROR(INDEX(BBG_Data!$B$63:$AA$75,MATCH(Monitor!$B16,BBG_Data!$C$63:$C$75,0),MATCH(Monitor!T$11,BBG_Data!$B$63:$AA$63,0))/100,IF(U16=1,1,0))</f>
        <v>0</v>
      </c>
    </row>
    <row r="17" spans="2:20" x14ac:dyDescent="0.25">
      <c r="B17" s="25">
        <v>44867</v>
      </c>
      <c r="C17" s="6">
        <f>VLOOKUP(B17,BBG_Data!$C$4:$E$20,3,0)/100</f>
        <v>1.2840000000000007</v>
      </c>
      <c r="D17" s="11"/>
      <c r="E17" s="9"/>
      <c r="F17" s="9"/>
      <c r="G17" s="9"/>
      <c r="H17" s="9"/>
      <c r="I17" s="9"/>
      <c r="J17" s="14">
        <f>IFERROR(INDEX(BBG_Data!$B$63:$AA$75,MATCH(Monitor!$B17,BBG_Data!$C$63:$C$75,0),MATCH(Monitor!J$11,BBG_Data!$B$63:$AA$63,0))/100,IF(K17=1,1,0))</f>
        <v>1</v>
      </c>
      <c r="K17" s="14">
        <f>IFERROR(INDEX(BBG_Data!$B$63:$AA$75,MATCH(Monitor!$B17,BBG_Data!$C$63:$C$75,0),MATCH(Monitor!K$11,BBG_Data!$B$63:$AA$63,0))/100,IF(L17=1,1,0))</f>
        <v>1</v>
      </c>
      <c r="L17" s="14">
        <f>IFERROR(INDEX(BBG_Data!$B$63:$AA$75,MATCH(Monitor!$B17,BBG_Data!$C$63:$C$75,0),MATCH(Monitor!L$11,BBG_Data!$B$63:$AA$63,0))/100,IF(M17=1,1,0))</f>
        <v>1</v>
      </c>
      <c r="M17" s="14">
        <f>IFERROR(INDEX(BBG_Data!$B$63:$AA$75,MATCH(Monitor!$B17,BBG_Data!$C$63:$C$75,0),MATCH(Monitor!M$11,BBG_Data!$B$63:$AA$63,0))/100,IF(N17=1,1,0))</f>
        <v>1</v>
      </c>
      <c r="N17" s="14">
        <f>IFERROR(INDEX(BBG_Data!$B$63:$AA$75,MATCH(Monitor!$B17,BBG_Data!$C$63:$C$75,0),MATCH(Monitor!N$11,BBG_Data!$B$63:$AA$63,0))/100,IF(O17=1,1,0))</f>
        <v>1</v>
      </c>
      <c r="O17" s="14">
        <f>IFERROR(INDEX(BBG_Data!$B$63:$AA$75,MATCH(Monitor!$B17,BBG_Data!$C$63:$C$75,0),MATCH(Monitor!O$11,BBG_Data!$B$63:$AA$63,0))/100,IF(P17=1,1,0))</f>
        <v>1</v>
      </c>
      <c r="P17" s="14">
        <f>IFERROR(INDEX(BBG_Data!$B$63:$AA$75,MATCH(Monitor!$B17,BBG_Data!$C$63:$C$75,0),MATCH(Monitor!P$11,BBG_Data!$B$63:$AA$63,0))/100,IF(Q17=1,1,0))</f>
        <v>0.58040000000000003</v>
      </c>
      <c r="Q17" s="14">
        <f>IFERROR(INDEX(BBG_Data!$B$63:$AA$75,MATCH(Monitor!$B17,BBG_Data!$C$63:$C$75,0),MATCH(Monitor!Q$11,BBG_Data!$B$63:$AA$63,0))/100,IF(R17=1,1,0))</f>
        <v>0.14760000000000001</v>
      </c>
      <c r="R17" s="14">
        <f>IFERROR(INDEX(BBG_Data!$B$63:$AA$75,MATCH(Monitor!$B17,BBG_Data!$C$63:$C$75,0),MATCH(Monitor!R$11,BBG_Data!$B$63:$AA$63,0))/100,IF(S17=1,1,0))</f>
        <v>1.1899999999999999E-2</v>
      </c>
      <c r="S17" s="14">
        <f>IFERROR(INDEX(BBG_Data!$B$63:$AA$75,MATCH(Monitor!$B17,BBG_Data!$C$63:$C$75,0),MATCH(Monitor!S$11,BBG_Data!$B$63:$AA$63,0))/100,IF(T17=1,1,0))</f>
        <v>0</v>
      </c>
      <c r="T17" s="27">
        <f>IFERROR(INDEX(BBG_Data!$B$63:$AA$75,MATCH(Monitor!$B17,BBG_Data!$C$63:$C$75,0),MATCH(Monitor!T$11,BBG_Data!$B$63:$AA$63,0))/100,IF(U17=1,1,0))</f>
        <v>0</v>
      </c>
    </row>
    <row r="18" spans="2:20" x14ac:dyDescent="0.25">
      <c r="B18" s="25">
        <v>44909</v>
      </c>
      <c r="C18" s="6">
        <f>VLOOKUP(B18,BBG_Data!$C$4:$E$20,3,0)/100</f>
        <v>0.45199999999999996</v>
      </c>
      <c r="D18" s="11"/>
      <c r="E18" s="9"/>
      <c r="F18" s="9"/>
      <c r="G18" s="9"/>
      <c r="H18" s="9"/>
      <c r="I18" s="9"/>
      <c r="J18" s="14">
        <f>IFERROR(INDEX(BBG_Data!$B$63:$AA$75,MATCH(Monitor!$B18,BBG_Data!$C$63:$C$75,0),MATCH(Monitor!J$11,BBG_Data!$B$63:$AA$63,0))/100,IF(K18=1,1,0))</f>
        <v>1</v>
      </c>
      <c r="K18" s="14">
        <f>IFERROR(INDEX(BBG_Data!$B$63:$AA$75,MATCH(Monitor!$B18,BBG_Data!$C$63:$C$75,0),MATCH(Monitor!K$11,BBG_Data!$B$63:$AA$63,0))/100,IF(L18=1,1,0))</f>
        <v>1</v>
      </c>
      <c r="L18" s="14">
        <f>IFERROR(INDEX(BBG_Data!$B$63:$AA$75,MATCH(Monitor!$B18,BBG_Data!$C$63:$C$75,0),MATCH(Monitor!L$11,BBG_Data!$B$63:$AA$63,0))/100,IF(M18=1,1,0))</f>
        <v>1</v>
      </c>
      <c r="M18" s="14">
        <f>IFERROR(INDEX(BBG_Data!$B$63:$AA$75,MATCH(Monitor!$B18,BBG_Data!$C$63:$C$75,0),MATCH(Monitor!M$11,BBG_Data!$B$63:$AA$63,0))/100,IF(N18=1,1,0))</f>
        <v>1</v>
      </c>
      <c r="N18" s="14">
        <f>IFERROR(INDEX(BBG_Data!$B$63:$AA$75,MATCH(Monitor!$B18,BBG_Data!$C$63:$C$75,0),MATCH(Monitor!N$11,BBG_Data!$B$63:$AA$63,0))/100,IF(O18=1,1,0))</f>
        <v>1</v>
      </c>
      <c r="O18" s="14">
        <f>IFERROR(INDEX(BBG_Data!$B$63:$AA$75,MATCH(Monitor!$B18,BBG_Data!$C$63:$C$75,0),MATCH(Monitor!O$11,BBG_Data!$B$63:$AA$63,0))/100,IF(P18=1,1,0))</f>
        <v>1</v>
      </c>
      <c r="P18" s="14">
        <f>IFERROR(INDEX(BBG_Data!$B$63:$AA$75,MATCH(Monitor!$B18,BBG_Data!$C$63:$C$75,0),MATCH(Monitor!P$11,BBG_Data!$B$63:$AA$63,0))/100,IF(Q18=1,1,0))</f>
        <v>0.77010000000000001</v>
      </c>
      <c r="Q18" s="14">
        <f>IFERROR(INDEX(BBG_Data!$B$63:$AA$75,MATCH(Monitor!$B18,BBG_Data!$C$63:$C$75,0),MATCH(Monitor!Q$11,BBG_Data!$B$63:$AA$63,0))/100,IF(R18=1,1,0))</f>
        <v>0.34329999999999999</v>
      </c>
      <c r="R18" s="14">
        <f>IFERROR(INDEX(BBG_Data!$B$63:$AA$75,MATCH(Monitor!$B18,BBG_Data!$C$63:$C$75,0),MATCH(Monitor!R$11,BBG_Data!$B$63:$AA$63,0))/100,IF(S18=1,1,0))</f>
        <v>7.3300000000000004E-2</v>
      </c>
      <c r="S18" s="14">
        <f>IFERROR(INDEX(BBG_Data!$B$63:$AA$75,MATCH(Monitor!$B18,BBG_Data!$C$63:$C$75,0),MATCH(Monitor!S$11,BBG_Data!$B$63:$AA$63,0))/100,IF(T18=1,1,0))</f>
        <v>5.4000000000000003E-3</v>
      </c>
      <c r="T18" s="27">
        <f>IFERROR(INDEX(BBG_Data!$B$63:$AA$75,MATCH(Monitor!$B18,BBG_Data!$C$63:$C$75,0),MATCH(Monitor!T$11,BBG_Data!$B$63:$AA$63,0))/100,IF(U18=1,1,0))</f>
        <v>0</v>
      </c>
    </row>
    <row r="19" spans="2:20" x14ac:dyDescent="0.25">
      <c r="B19" s="47">
        <v>44958</v>
      </c>
      <c r="C19" s="48">
        <f>VLOOKUP(B19,BBG_Data!$C$4:$E$20,3,0)/100</f>
        <v>-3.6000000000001364E-2</v>
      </c>
      <c r="D19" s="49"/>
      <c r="E19" s="12"/>
      <c r="F19" s="12"/>
      <c r="G19" s="12"/>
      <c r="H19" s="12"/>
      <c r="I19" s="12"/>
      <c r="J19" s="50">
        <f>IFERROR(INDEX(BBG_Data!$B$63:$AA$75,MATCH(Monitor!$B19,BBG_Data!$C$63:$C$75,0),MATCH(Monitor!J$11,BBG_Data!$B$63:$AA$63,0))/100,IF(K19=1,1,0))</f>
        <v>1</v>
      </c>
      <c r="K19" s="50">
        <f>IFERROR(INDEX(BBG_Data!$B$63:$AA$75,MATCH(Monitor!$B19,BBG_Data!$C$63:$C$75,0),MATCH(Monitor!K$11,BBG_Data!$B$63:$AA$63,0))/100,IF(L19=1,1,0))</f>
        <v>1</v>
      </c>
      <c r="L19" s="50">
        <f>IFERROR(INDEX(BBG_Data!$B$63:$AA$75,MATCH(Monitor!$B19,BBG_Data!$C$63:$C$75,0),MATCH(Monitor!L$11,BBG_Data!$B$63:$AA$63,0))/100,IF(M19=1,1,0))</f>
        <v>1</v>
      </c>
      <c r="M19" s="50">
        <f>IFERROR(INDEX(BBG_Data!$B$63:$AA$75,MATCH(Monitor!$B19,BBG_Data!$C$63:$C$75,0),MATCH(Monitor!M$11,BBG_Data!$B$63:$AA$63,0))/100,IF(N19=1,1,0))</f>
        <v>1</v>
      </c>
      <c r="N19" s="50">
        <f>IFERROR(INDEX(BBG_Data!$B$63:$AA$75,MATCH(Monitor!$B19,BBG_Data!$C$63:$C$75,0),MATCH(Monitor!N$11,BBG_Data!$B$63:$AA$63,0))/100,IF(O19=1,1,0))</f>
        <v>1</v>
      </c>
      <c r="O19" s="50">
        <f>IFERROR(INDEX(BBG_Data!$B$63:$AA$75,MATCH(Monitor!$B19,BBG_Data!$C$63:$C$75,0),MATCH(Monitor!O$11,BBG_Data!$B$63:$AA$63,0))/100,IF(P19=1,1,0))</f>
        <v>0.99170000000000003</v>
      </c>
      <c r="P19" s="50">
        <f>IFERROR(INDEX(BBG_Data!$B$63:$AA$75,MATCH(Monitor!$B19,BBG_Data!$C$63:$C$75,0),MATCH(Monitor!P$11,BBG_Data!$B$63:$AA$63,0))/100,IF(Q19=1,1,0))</f>
        <v>0.75470000000000004</v>
      </c>
      <c r="Q19" s="50">
        <f>IFERROR(INDEX(BBG_Data!$B$63:$AA$75,MATCH(Monitor!$B19,BBG_Data!$C$63:$C$75,0),MATCH(Monitor!Q$11,BBG_Data!$B$63:$AA$63,0))/100,IF(R19=1,1,0))</f>
        <v>0.33360000000000001</v>
      </c>
      <c r="R19" s="50">
        <f>IFERROR(INDEX(BBG_Data!$B$63:$AA$75,MATCH(Monitor!$B19,BBG_Data!$C$63:$C$75,0),MATCH(Monitor!R$11,BBG_Data!$B$63:$AA$63,0))/100,IF(S19=1,1,0))</f>
        <v>7.0800000000000002E-2</v>
      </c>
      <c r="S19" s="50">
        <f>IFERROR(INDEX(BBG_Data!$B$63:$AA$75,MATCH(Monitor!$B19,BBG_Data!$C$63:$C$75,0),MATCH(Monitor!S$11,BBG_Data!$B$63:$AA$63,0))/100,IF(T19=1,1,0))</f>
        <v>5.1999999999999998E-3</v>
      </c>
      <c r="T19" s="51">
        <f>IFERROR(INDEX(BBG_Data!$B$63:$AA$75,MATCH(Monitor!$B19,BBG_Data!$C$63:$C$75,0),MATCH(Monitor!T$11,BBG_Data!$B$63:$AA$63,0))/100,IF(U19=1,1,0))</f>
        <v>0</v>
      </c>
    </row>
    <row r="20" spans="2:20" x14ac:dyDescent="0.25">
      <c r="B20" s="25">
        <v>45000</v>
      </c>
      <c r="C20" s="6">
        <f>VLOOKUP(B20,BBG_Data!$C$4:$E$20,3,0)/100</f>
        <v>-0.19599999999999973</v>
      </c>
      <c r="D20" s="11"/>
      <c r="E20" s="9"/>
      <c r="F20" s="9"/>
      <c r="G20" s="9"/>
      <c r="H20" s="9"/>
      <c r="I20" s="9"/>
      <c r="J20" s="14">
        <f>IFERROR(INDEX(BBG_Data!$B$63:$AA$75,MATCH(Monitor!$B20,BBG_Data!$C$63:$C$75,0),MATCH(Monitor!J$11,BBG_Data!$B$63:$AA$63,0))/100,IF(K20=1,1,0))</f>
        <v>1</v>
      </c>
      <c r="K20" s="14">
        <f>IFERROR(INDEX(BBG_Data!$B$63:$AA$75,MATCH(Monitor!$B20,BBG_Data!$C$63:$C$75,0),MATCH(Monitor!K$11,BBG_Data!$B$63:$AA$63,0))/100,IF(L20=1,1,0))</f>
        <v>1</v>
      </c>
      <c r="L20" s="14">
        <f>IFERROR(INDEX(BBG_Data!$B$63:$AA$75,MATCH(Monitor!$B20,BBG_Data!$C$63:$C$75,0),MATCH(Monitor!L$11,BBG_Data!$B$63:$AA$63,0))/100,IF(M20=1,1,0))</f>
        <v>1</v>
      </c>
      <c r="M20" s="14">
        <f>IFERROR(INDEX(BBG_Data!$B$63:$AA$75,MATCH(Monitor!$B20,BBG_Data!$C$63:$C$75,0),MATCH(Monitor!M$11,BBG_Data!$B$63:$AA$63,0))/100,IF(N20=1,1,0))</f>
        <v>1</v>
      </c>
      <c r="N20" s="14">
        <f>IFERROR(INDEX(BBG_Data!$B$63:$AA$75,MATCH(Monitor!$B20,BBG_Data!$C$63:$C$75,0),MATCH(Monitor!N$11,BBG_Data!$B$63:$AA$63,0))/100,IF(O20=1,1,0))</f>
        <v>0.99840000000000007</v>
      </c>
      <c r="O20" s="14">
        <f>IFERROR(INDEX(BBG_Data!$B$63:$AA$75,MATCH(Monitor!$B20,BBG_Data!$C$63:$C$75,0),MATCH(Monitor!O$11,BBG_Data!$B$63:$AA$63,0))/100,IF(P20=1,1,0))</f>
        <v>0.94530000000000003</v>
      </c>
      <c r="P20" s="14">
        <f>IFERROR(INDEX(BBG_Data!$B$63:$AA$75,MATCH(Monitor!$B20,BBG_Data!$C$63:$C$75,0),MATCH(Monitor!P$11,BBG_Data!$B$63:$AA$63,0))/100,IF(Q20=1,1,0))</f>
        <v>0.67220000000000002</v>
      </c>
      <c r="Q20" s="14">
        <f>IFERROR(INDEX(BBG_Data!$B$63:$AA$75,MATCH(Monitor!$B20,BBG_Data!$C$63:$C$75,0),MATCH(Monitor!Q$11,BBG_Data!$B$63:$AA$63,0))/100,IF(R20=1,1,0))</f>
        <v>0.28199999999999997</v>
      </c>
      <c r="R20" s="14">
        <f>IFERROR(INDEX(BBG_Data!$B$63:$AA$75,MATCH(Monitor!$B20,BBG_Data!$C$63:$C$75,0),MATCH(Monitor!R$11,BBG_Data!$B$63:$AA$63,0))/100,IF(S20=1,1,0))</f>
        <v>5.7999999999999996E-2</v>
      </c>
      <c r="S20" s="14">
        <f>IFERROR(INDEX(BBG_Data!$B$63:$AA$75,MATCH(Monitor!$B20,BBG_Data!$C$63:$C$75,0),MATCH(Monitor!S$11,BBG_Data!$B$63:$AA$63,0))/100,IF(T20=1,1,0))</f>
        <v>4.1999999999999997E-3</v>
      </c>
      <c r="T20" s="27">
        <f>IFERROR(INDEX(BBG_Data!$B$63:$AA$75,MATCH(Monitor!$B20,BBG_Data!$C$63:$C$75,0),MATCH(Monitor!T$11,BBG_Data!$B$63:$AA$63,0))/100,IF(U20=1,1,0))</f>
        <v>0</v>
      </c>
    </row>
    <row r="21" spans="2:20" x14ac:dyDescent="0.25">
      <c r="B21" s="25">
        <v>45049</v>
      </c>
      <c r="C21" s="6">
        <f>VLOOKUP(B21,BBG_Data!$C$4:$E$20,3,0)/100</f>
        <v>-0.3879999999999999</v>
      </c>
      <c r="D21" s="11"/>
      <c r="E21" s="9"/>
      <c r="F21" s="9"/>
      <c r="G21" s="9"/>
      <c r="H21" s="9"/>
      <c r="I21" s="9"/>
      <c r="J21" s="14">
        <f>IFERROR(INDEX(BBG_Data!$B$63:$AA$75,MATCH(Monitor!$B21,BBG_Data!$C$63:$C$75,0),MATCH(Monitor!J$11,BBG_Data!$B$63:$AA$63,0))/100,IF(K21=1,1,0))</f>
        <v>1</v>
      </c>
      <c r="K21" s="14">
        <f>IFERROR(INDEX(BBG_Data!$B$63:$AA$75,MATCH(Monitor!$B21,BBG_Data!$C$63:$C$75,0),MATCH(Monitor!K$11,BBG_Data!$B$63:$AA$63,0))/100,IF(L21=1,1,0))</f>
        <v>1</v>
      </c>
      <c r="L21" s="14">
        <f>IFERROR(INDEX(BBG_Data!$B$63:$AA$75,MATCH(Monitor!$B21,BBG_Data!$C$63:$C$75,0),MATCH(Monitor!L$11,BBG_Data!$B$63:$AA$63,0))/100,IF(M21=1,1,0))</f>
        <v>1</v>
      </c>
      <c r="M21" s="14">
        <f>IFERROR(INDEX(BBG_Data!$B$63:$AA$75,MATCH(Monitor!$B21,BBG_Data!$C$63:$C$75,0),MATCH(Monitor!M$11,BBG_Data!$B$63:$AA$63,0))/100,IF(N21=1,1,0))</f>
        <v>0.99939999999999996</v>
      </c>
      <c r="N21" s="14">
        <f>IFERROR(INDEX(BBG_Data!$B$63:$AA$75,MATCH(Monitor!$B21,BBG_Data!$C$63:$C$75,0),MATCH(Monitor!N$11,BBG_Data!$B$63:$AA$63,0))/100,IF(O21=1,1,0))</f>
        <v>0.9778</v>
      </c>
      <c r="O21" s="14">
        <f>IFERROR(INDEX(BBG_Data!$B$63:$AA$75,MATCH(Monitor!$B21,BBG_Data!$C$63:$C$75,0),MATCH(Monitor!O$11,BBG_Data!$B$63:$AA$63,0))/100,IF(P21=1,1,0))</f>
        <v>0.83930000000000005</v>
      </c>
      <c r="P21" s="14">
        <f>IFERROR(INDEX(BBG_Data!$B$63:$AA$75,MATCH(Monitor!$B21,BBG_Data!$C$63:$C$75,0),MATCH(Monitor!P$11,BBG_Data!$B$63:$AA$63,0))/100,IF(Q21=1,1,0))</f>
        <v>0.52079999999999993</v>
      </c>
      <c r="Q21" s="14">
        <f>IFERROR(INDEX(BBG_Data!$B$63:$AA$75,MATCH(Monitor!$B21,BBG_Data!$C$63:$C$75,0),MATCH(Monitor!Q$11,BBG_Data!$B$63:$AA$63,0))/100,IF(R21=1,1,0))</f>
        <v>0.19510000000000002</v>
      </c>
      <c r="R21" s="14">
        <f>IFERROR(INDEX(BBG_Data!$B$63:$AA$75,MATCH(Monitor!$B21,BBG_Data!$C$63:$C$75,0),MATCH(Monitor!R$11,BBG_Data!$B$63:$AA$63,0))/100,IF(S21=1,1,0))</f>
        <v>3.7100000000000001E-2</v>
      </c>
      <c r="S21" s="14">
        <f>IFERROR(INDEX(BBG_Data!$B$63:$AA$75,MATCH(Monitor!$B21,BBG_Data!$C$63:$C$75,0),MATCH(Monitor!S$11,BBG_Data!$B$63:$AA$63,0))/100,IF(T21=1,1,0))</f>
        <v>2.5999999999999999E-3</v>
      </c>
      <c r="T21" s="27">
        <f>IFERROR(INDEX(BBG_Data!$B$63:$AA$75,MATCH(Monitor!$B21,BBG_Data!$C$63:$C$75,0),MATCH(Monitor!T$11,BBG_Data!$B$63:$AA$63,0))/100,IF(U21=1,1,0))</f>
        <v>0</v>
      </c>
    </row>
    <row r="22" spans="2:20" x14ac:dyDescent="0.25">
      <c r="B22" s="25">
        <v>45091</v>
      </c>
      <c r="C22" s="6">
        <f>VLOOKUP(B22,BBG_Data!$C$4:$E$20,3,0)/100</f>
        <v>-0.33199999999999896</v>
      </c>
      <c r="D22" s="11"/>
      <c r="E22" s="9"/>
      <c r="F22" s="9"/>
      <c r="G22" s="9"/>
      <c r="H22" s="9"/>
      <c r="I22" s="9"/>
      <c r="J22" s="14">
        <f>IFERROR(INDEX(BBG_Data!$B$63:$AA$75,MATCH(Monitor!$B22,BBG_Data!$C$63:$C$75,0),MATCH(Monitor!J$11,BBG_Data!$B$63:$AA$63,0))/100,IF(K22=1,1,0))</f>
        <v>1</v>
      </c>
      <c r="K22" s="14">
        <f>IFERROR(INDEX(BBG_Data!$B$63:$AA$75,MATCH(Monitor!$B22,BBG_Data!$C$63:$C$75,0),MATCH(Monitor!K$11,BBG_Data!$B$63:$AA$63,0))/100,IF(L22=1,1,0))</f>
        <v>1</v>
      </c>
      <c r="L22" s="14">
        <f>IFERROR(INDEX(BBG_Data!$B$63:$AA$75,MATCH(Monitor!$B22,BBG_Data!$C$63:$C$75,0),MATCH(Monitor!L$11,BBG_Data!$B$63:$AA$63,0))/100,IF(M22=1,1,0))</f>
        <v>0.99980000000000002</v>
      </c>
      <c r="M22" s="14">
        <f>IFERROR(INDEX(BBG_Data!$B$63:$AA$75,MATCH(Monitor!$B22,BBG_Data!$C$63:$C$75,0),MATCH(Monitor!M$11,BBG_Data!$B$63:$AA$63,0))/100,IF(N22=1,1,0))</f>
        <v>0.99219999999999997</v>
      </c>
      <c r="N22" s="14">
        <f>IFERROR(INDEX(BBG_Data!$B$63:$AA$75,MATCH(Monitor!$B22,BBG_Data!$C$63:$C$75,0),MATCH(Monitor!N$11,BBG_Data!$B$63:$AA$63,0))/100,IF(O22=1,1,0))</f>
        <v>0.93180000000000007</v>
      </c>
      <c r="O22" s="14">
        <f>IFERROR(INDEX(BBG_Data!$B$63:$AA$75,MATCH(Monitor!$B22,BBG_Data!$C$63:$C$75,0),MATCH(Monitor!O$11,BBG_Data!$B$63:$AA$63,0))/100,IF(P22=1,1,0))</f>
        <v>0.73360000000000003</v>
      </c>
      <c r="P22" s="14">
        <f>IFERROR(INDEX(BBG_Data!$B$63:$AA$75,MATCH(Monitor!$B22,BBG_Data!$C$63:$C$75,0),MATCH(Monitor!P$11,BBG_Data!$B$63:$AA$63,0))/100,IF(Q22=1,1,0))</f>
        <v>0.41270000000000001</v>
      </c>
      <c r="Q22" s="14">
        <f>IFERROR(INDEX(BBG_Data!$B$63:$AA$75,MATCH(Monitor!$B22,BBG_Data!$C$63:$C$75,0),MATCH(Monitor!Q$11,BBG_Data!$B$63:$AA$63,0))/100,IF(R22=1,1,0))</f>
        <v>0.1426</v>
      </c>
      <c r="R22" s="14">
        <f>IFERROR(INDEX(BBG_Data!$B$63:$AA$75,MATCH(Monitor!$B22,BBG_Data!$C$63:$C$75,0),MATCH(Monitor!R$11,BBG_Data!$B$63:$AA$63,0))/100,IF(S22=1,1,0))</f>
        <v>2.5600000000000001E-2</v>
      </c>
      <c r="S22" s="14">
        <f>IFERROR(INDEX(BBG_Data!$B$63:$AA$75,MATCH(Monitor!$B22,BBG_Data!$C$63:$C$75,0),MATCH(Monitor!S$11,BBG_Data!$B$63:$AA$63,0))/100,IF(T22=1,1,0))</f>
        <v>1.7000000000000001E-3</v>
      </c>
      <c r="T22" s="27">
        <f>IFERROR(INDEX(BBG_Data!$B$63:$AA$75,MATCH(Monitor!$B22,BBG_Data!$C$63:$C$75,0),MATCH(Monitor!T$11,BBG_Data!$B$63:$AA$63,0))/100,IF(U22=1,1,0))</f>
        <v>0</v>
      </c>
    </row>
    <row r="23" spans="2:20" x14ac:dyDescent="0.25">
      <c r="B23" s="25">
        <v>45133</v>
      </c>
      <c r="C23" s="6">
        <f>VLOOKUP(B23,BBG_Data!$C$4:$E$20,3,0)/100</f>
        <v>-0.30000000000000071</v>
      </c>
      <c r="D23" s="11"/>
      <c r="E23" s="9"/>
      <c r="F23" s="9"/>
      <c r="G23" s="9"/>
      <c r="H23" s="9"/>
      <c r="I23" s="9"/>
      <c r="J23" s="14">
        <f>IFERROR(INDEX(BBG_Data!$B$63:$AA$75,MATCH(Monitor!$B23,BBG_Data!$C$63:$C$75,0),MATCH(Monitor!J$11,BBG_Data!$B$63:$AA$63,0))/100,IF(K23=1,1,0))</f>
        <v>1</v>
      </c>
      <c r="K23" s="14">
        <f>IFERROR(INDEX(BBG_Data!$B$63:$AA$75,MATCH(Monitor!$B23,BBG_Data!$C$63:$C$75,0),MATCH(Monitor!K$11,BBG_Data!$B$63:$AA$63,0))/100,IF(L23=1,1,0))</f>
        <v>0.9998999999999999</v>
      </c>
      <c r="L23" s="14">
        <f>IFERROR(INDEX(BBG_Data!$B$63:$AA$75,MATCH(Monitor!$B23,BBG_Data!$C$63:$C$75,0),MATCH(Monitor!L$11,BBG_Data!$B$63:$AA$63,0))/100,IF(M23=1,1,0))</f>
        <v>0.99750000000000005</v>
      </c>
      <c r="M23" s="14">
        <f>IFERROR(INDEX(BBG_Data!$B$63:$AA$75,MATCH(Monitor!$B23,BBG_Data!$C$63:$C$75,0),MATCH(Monitor!M$11,BBG_Data!$B$63:$AA$63,0))/100,IF(N23=1,1,0))</f>
        <v>0.97409999999999997</v>
      </c>
      <c r="N23" s="14">
        <f>IFERROR(INDEX(BBG_Data!$B$63:$AA$75,MATCH(Monitor!$B23,BBG_Data!$C$63:$C$75,0),MATCH(Monitor!N$11,BBG_Data!$B$63:$AA$63,0))/100,IF(O23=1,1,0))</f>
        <v>0.87230000000000008</v>
      </c>
      <c r="O23" s="14">
        <f>IFERROR(INDEX(BBG_Data!$B$63:$AA$75,MATCH(Monitor!$B23,BBG_Data!$C$63:$C$75,0),MATCH(Monitor!O$11,BBG_Data!$B$63:$AA$63,0))/100,IF(P23=1,1,0))</f>
        <v>0.63729999999999998</v>
      </c>
      <c r="P23" s="14">
        <f>IFERROR(INDEX(BBG_Data!$B$63:$AA$75,MATCH(Monitor!$B23,BBG_Data!$C$63:$C$75,0),MATCH(Monitor!P$11,BBG_Data!$B$63:$AA$63,0))/100,IF(Q23=1,1,0))</f>
        <v>0.33169999999999999</v>
      </c>
      <c r="Q23" s="14">
        <f>IFERROR(INDEX(BBG_Data!$B$63:$AA$75,MATCH(Monitor!$B23,BBG_Data!$C$63:$C$75,0),MATCH(Monitor!Q$11,BBG_Data!$B$63:$AA$63,0))/100,IF(R23=1,1,0))</f>
        <v>0.1076</v>
      </c>
      <c r="R23" s="14">
        <f>IFERROR(INDEX(BBG_Data!$B$63:$AA$75,MATCH(Monitor!$B23,BBG_Data!$C$63:$C$75,0),MATCH(Monitor!R$11,BBG_Data!$B$63:$AA$63,0))/100,IF(S23=1,1,0))</f>
        <v>1.8500000000000003E-2</v>
      </c>
      <c r="S23" s="14">
        <f>IFERROR(INDEX(BBG_Data!$B$63:$AA$75,MATCH(Monitor!$B23,BBG_Data!$C$63:$C$75,0),MATCH(Monitor!S$11,BBG_Data!$B$63:$AA$63,0))/100,IF(T23=1,1,0))</f>
        <v>1.1999999999999999E-3</v>
      </c>
      <c r="T23" s="27">
        <f>IFERROR(INDEX(BBG_Data!$B$63:$AA$75,MATCH(Monitor!$B23,BBG_Data!$C$63:$C$75,0),MATCH(Monitor!T$11,BBG_Data!$B$63:$AA$63,0))/100,IF(U23=1,1,0))</f>
        <v>0</v>
      </c>
    </row>
    <row r="24" spans="2:20" x14ac:dyDescent="0.25">
      <c r="B24" s="25">
        <v>45189</v>
      </c>
      <c r="C24" s="6">
        <f>VLOOKUP(B24,BBG_Data!$C$4:$E$20,3,0)/100</f>
        <v>-0.38000000000000078</v>
      </c>
      <c r="D24" s="11"/>
      <c r="E24" s="9"/>
      <c r="F24" s="9"/>
      <c r="G24" s="9"/>
      <c r="H24" s="9"/>
      <c r="I24" s="9"/>
      <c r="J24" s="14">
        <f>IFERROR(INDEX(BBG_Data!$B$63:$AA$75,MATCH(Monitor!$B24,BBG_Data!$C$63:$C$75,0),MATCH(Monitor!J$11,BBG_Data!$B$63:$AA$63,0))/100,IF(K24=1,1,0))</f>
        <v>1</v>
      </c>
      <c r="K24" s="14">
        <f>IFERROR(INDEX(BBG_Data!$B$63:$AA$75,MATCH(Monitor!$B24,BBG_Data!$C$63:$C$75,0),MATCH(Monitor!K$11,BBG_Data!$B$63:$AA$63,0))/100,IF(L24=1,1,0))</f>
        <v>0.99900000000000011</v>
      </c>
      <c r="L24" s="14">
        <f>IFERROR(INDEX(BBG_Data!$B$63:$AA$75,MATCH(Monitor!$B24,BBG_Data!$C$63:$C$75,0),MATCH(Monitor!L$11,BBG_Data!$B$63:$AA$63,0))/100,IF(M24=1,1,0))</f>
        <v>0.98860000000000003</v>
      </c>
      <c r="M24" s="14">
        <f>IFERROR(INDEX(BBG_Data!$B$63:$AA$75,MATCH(Monitor!$B24,BBG_Data!$C$63:$C$75,0),MATCH(Monitor!M$11,BBG_Data!$B$63:$AA$63,0))/100,IF(N24=1,1,0))</f>
        <v>0.93540000000000001</v>
      </c>
      <c r="N24" s="14">
        <f>IFERROR(INDEX(BBG_Data!$B$63:$AA$75,MATCH(Monitor!$B24,BBG_Data!$C$63:$C$75,0),MATCH(Monitor!N$11,BBG_Data!$B$63:$AA$63,0))/100,IF(O24=1,1,0))</f>
        <v>0.78299999999999992</v>
      </c>
      <c r="O24" s="14">
        <f>IFERROR(INDEX(BBG_Data!$B$63:$AA$75,MATCH(Monitor!$B24,BBG_Data!$C$63:$C$75,0),MATCH(Monitor!O$11,BBG_Data!$B$63:$AA$63,0))/100,IF(P24=1,1,0))</f>
        <v>0.5212</v>
      </c>
      <c r="P24" s="14">
        <f>IFERROR(INDEX(BBG_Data!$B$63:$AA$75,MATCH(Monitor!$B24,BBG_Data!$C$63:$C$75,0),MATCH(Monitor!P$11,BBG_Data!$B$63:$AA$63,0))/100,IF(Q24=1,1,0))</f>
        <v>0.2465</v>
      </c>
      <c r="Q24" s="14">
        <f>IFERROR(INDEX(BBG_Data!$B$63:$AA$75,MATCH(Monitor!$B24,BBG_Data!$C$63:$C$75,0),MATCH(Monitor!Q$11,BBG_Data!$B$63:$AA$63,0))/100,IF(R24=1,1,0))</f>
        <v>7.3700000000000002E-2</v>
      </c>
      <c r="R24" s="14">
        <f>IFERROR(INDEX(BBG_Data!$B$63:$AA$75,MATCH(Monitor!$B24,BBG_Data!$C$63:$C$75,0),MATCH(Monitor!R$11,BBG_Data!$B$63:$AA$63,0))/100,IF(S24=1,1,0))</f>
        <v>1.1899999999999999E-2</v>
      </c>
      <c r="S24" s="14">
        <f>IFERROR(INDEX(BBG_Data!$B$63:$AA$75,MATCH(Monitor!$B24,BBG_Data!$C$63:$C$75,0),MATCH(Monitor!S$11,BBG_Data!$B$63:$AA$63,0))/100,IF(T24=1,1,0))</f>
        <v>7.000000000000001E-4</v>
      </c>
      <c r="T24" s="27">
        <f>IFERROR(INDEX(BBG_Data!$B$63:$AA$75,MATCH(Monitor!$B24,BBG_Data!$C$63:$C$75,0),MATCH(Monitor!T$11,BBG_Data!$B$63:$AA$63,0))/100,IF(U24=1,1,0))</f>
        <v>0</v>
      </c>
    </row>
    <row r="25" spans="2:20" x14ac:dyDescent="0.25">
      <c r="B25" s="25">
        <v>45231</v>
      </c>
      <c r="C25" s="6">
        <f>VLOOKUP(B25,BBG_Data!$C$4:$E$20,3,0)/100</f>
        <v>-0.25999999999999801</v>
      </c>
      <c r="D25" s="11"/>
      <c r="E25" s="9"/>
      <c r="F25" s="9"/>
      <c r="G25" s="9"/>
      <c r="H25" s="9"/>
      <c r="I25" s="9"/>
      <c r="J25" s="14">
        <f>IFERROR(INDEX(BBG_Data!$B$63:$AA$75,MATCH(Monitor!$B25,BBG_Data!$C$63:$C$75,0),MATCH(Monitor!J$11,BBG_Data!$B$63:$AA$63,0))/100,IF(K25=1,1,0))</f>
        <v>0.99970000000000003</v>
      </c>
      <c r="K25" s="14">
        <f>IFERROR(INDEX(BBG_Data!$B$63:$AA$75,MATCH(Monitor!$B25,BBG_Data!$C$63:$C$75,0),MATCH(Monitor!K$11,BBG_Data!$B$63:$AA$63,0))/100,IF(L25=1,1,0))</f>
        <v>0.99629999999999996</v>
      </c>
      <c r="L25" s="14">
        <f>IFERROR(INDEX(BBG_Data!$B$63:$AA$75,MATCH(Monitor!$B25,BBG_Data!$C$63:$C$75,0),MATCH(Monitor!L$11,BBG_Data!$B$63:$AA$63,0))/100,IF(M25=1,1,0))</f>
        <v>0.9748</v>
      </c>
      <c r="M25" s="14">
        <f>IFERROR(INDEX(BBG_Data!$B$63:$AA$75,MATCH(Monitor!$B25,BBG_Data!$C$63:$C$75,0),MATCH(Monitor!M$11,BBG_Data!$B$63:$AA$63,0))/100,IF(N25=1,1,0))</f>
        <v>0.89579999999999993</v>
      </c>
      <c r="N25" s="14">
        <f>IFERROR(INDEX(BBG_Data!$B$63:$AA$75,MATCH(Monitor!$B25,BBG_Data!$C$63:$C$75,0),MATCH(Monitor!N$11,BBG_Data!$B$63:$AA$63,0))/100,IF(O25=1,1,0))</f>
        <v>0.71489999999999998</v>
      </c>
      <c r="O25" s="14">
        <f>IFERROR(INDEX(BBG_Data!$B$63:$AA$75,MATCH(Monitor!$B25,BBG_Data!$C$63:$C$75,0),MATCH(Monitor!O$11,BBG_Data!$B$63:$AA$63,0))/100,IF(P25=1,1,0))</f>
        <v>0.44979999999999998</v>
      </c>
      <c r="P25" s="14">
        <f>IFERROR(INDEX(BBG_Data!$B$63:$AA$75,MATCH(Monitor!$B25,BBG_Data!$C$63:$C$75,0),MATCH(Monitor!P$11,BBG_Data!$B$63:$AA$63,0))/100,IF(Q25=1,1,0))</f>
        <v>0.2016</v>
      </c>
      <c r="Q25" s="14">
        <f>IFERROR(INDEX(BBG_Data!$B$63:$AA$75,MATCH(Monitor!$B25,BBG_Data!$C$63:$C$75,0),MATCH(Monitor!Q$11,BBG_Data!$B$63:$AA$63,0))/100,IF(R25=1,1,0))</f>
        <v>5.7599999999999998E-2</v>
      </c>
      <c r="R25" s="14">
        <f>IFERROR(INDEX(BBG_Data!$B$63:$AA$75,MATCH(Monitor!$B25,BBG_Data!$C$63:$C$75,0),MATCH(Monitor!R$11,BBG_Data!$B$63:$AA$63,0))/100,IF(S25=1,1,0))</f>
        <v>9.0000000000000011E-3</v>
      </c>
      <c r="S25" s="14">
        <f>IFERROR(INDEX(BBG_Data!$B$63:$AA$75,MATCH(Monitor!$B25,BBG_Data!$C$63:$C$75,0),MATCH(Monitor!S$11,BBG_Data!$B$63:$AA$63,0))/100,IF(T25=1,1,0))</f>
        <v>5.9999999999999995E-4</v>
      </c>
      <c r="T25" s="27">
        <f>IFERROR(INDEX(BBG_Data!$B$63:$AA$75,MATCH(Monitor!$B25,BBG_Data!$C$63:$C$75,0),MATCH(Monitor!T$11,BBG_Data!$B$63:$AA$63,0))/100,IF(U25=1,1,0))</f>
        <v>0</v>
      </c>
    </row>
    <row r="26" spans="2:20" x14ac:dyDescent="0.25">
      <c r="B26" s="52">
        <v>45273</v>
      </c>
      <c r="C26" s="53">
        <f>VLOOKUP(B26,BBG_Data!$C$4:$E$20,3,0)/100</f>
        <v>-0.28000000000000114</v>
      </c>
      <c r="D26" s="54"/>
      <c r="E26" s="55"/>
      <c r="F26" s="55"/>
      <c r="G26" s="55"/>
      <c r="H26" s="55"/>
      <c r="I26" s="55"/>
      <c r="J26" s="56">
        <f>IFERROR(INDEX(BBG_Data!$B$63:$AA$75,MATCH(Monitor!$B26,BBG_Data!$C$63:$C$75,0),MATCH(Monitor!J$11,BBG_Data!$B$63:$AA$63,0))/100,IF(K26=1,1,0))</f>
        <v>0.99879999999999991</v>
      </c>
      <c r="K26" s="56">
        <f>IFERROR(INDEX(BBG_Data!$B$63:$AA$75,MATCH(Monitor!$B26,BBG_Data!$C$63:$C$75,0),MATCH(Monitor!K$11,BBG_Data!$B$63:$AA$63,0))/100,IF(L26=1,1,0))</f>
        <v>0.99029999999999996</v>
      </c>
      <c r="L26" s="56">
        <f>IFERROR(INDEX(BBG_Data!$B$63:$AA$75,MATCH(Monitor!$B26,BBG_Data!$C$63:$C$75,0),MATCH(Monitor!L$11,BBG_Data!$B$63:$AA$63,0))/100,IF(M26=1,1,0))</f>
        <v>0.95269999999999999</v>
      </c>
      <c r="M26" s="56">
        <f>IFERROR(INDEX(BBG_Data!$B$63:$AA$75,MATCH(Monitor!$B26,BBG_Data!$C$63:$C$75,0),MATCH(Monitor!M$11,BBG_Data!$B$63:$AA$63,0))/100,IF(N26=1,1,0))</f>
        <v>0.84519999999999995</v>
      </c>
      <c r="N26" s="56">
        <f>IFERROR(INDEX(BBG_Data!$B$63:$AA$75,MATCH(Monitor!$B26,BBG_Data!$C$63:$C$75,0),MATCH(Monitor!N$11,BBG_Data!$B$63:$AA$63,0))/100,IF(O26=1,1,0))</f>
        <v>0.64069999999999994</v>
      </c>
      <c r="O26" s="56">
        <f>IFERROR(INDEX(BBG_Data!$B$63:$AA$75,MATCH(Monitor!$B26,BBG_Data!$C$63:$C$75,0),MATCH(Monitor!O$11,BBG_Data!$B$63:$AA$63,0))/100,IF(P26=1,1,0))</f>
        <v>0.38020000000000004</v>
      </c>
      <c r="P26" s="56">
        <f>IFERROR(INDEX(BBG_Data!$B$63:$AA$75,MATCH(Monitor!$B26,BBG_Data!$C$63:$C$75,0),MATCH(Monitor!P$11,BBG_Data!$B$63:$AA$63,0))/100,IF(Q26=1,1,0))</f>
        <v>0.1613</v>
      </c>
      <c r="Q26" s="56">
        <f>IFERROR(INDEX(BBG_Data!$B$63:$AA$75,MATCH(Monitor!$B26,BBG_Data!$C$63:$C$75,0),MATCH(Monitor!Q$11,BBG_Data!$B$63:$AA$63,0))/100,IF(R26=1,1,0))</f>
        <v>4.4000000000000004E-2</v>
      </c>
      <c r="R26" s="56">
        <f>IFERROR(INDEX(BBG_Data!$B$63:$AA$75,MATCH(Monitor!$B26,BBG_Data!$C$63:$C$75,0),MATCH(Monitor!R$11,BBG_Data!$B$63:$AA$63,0))/100,IF(S26=1,1,0))</f>
        <v>6.6E-3</v>
      </c>
      <c r="S26" s="56">
        <f>IFERROR(INDEX(BBG_Data!$B$63:$AA$75,MATCH(Monitor!$B26,BBG_Data!$C$63:$C$75,0),MATCH(Monitor!S$11,BBG_Data!$B$63:$AA$63,0))/100,IF(T26=1,1,0))</f>
        <v>4.0000000000000002E-4</v>
      </c>
      <c r="T26" s="57">
        <f>IFERROR(INDEX(BBG_Data!$B$63:$AA$75,MATCH(Monitor!$B26,BBG_Data!$C$63:$C$75,0),MATCH(Monitor!T$11,BBG_Data!$B$63:$AA$63,0))/100,IF(U26=1,1,0))</f>
        <v>0</v>
      </c>
    </row>
    <row r="27" spans="2:20" hidden="1" x14ac:dyDescent="0.25">
      <c r="B27" s="40">
        <v>45322</v>
      </c>
      <c r="C27" s="42">
        <f>VLOOKUP(B27,BBG_Data!$C$4:$E$20,3,0)/100</f>
        <v>-0.27200000000000024</v>
      </c>
      <c r="D27" s="43"/>
      <c r="E27" s="44"/>
      <c r="F27" s="44"/>
      <c r="G27" s="44"/>
      <c r="H27" s="44"/>
      <c r="I27" s="44"/>
      <c r="J27" s="45">
        <f>IFERROR(INDEX(BBG_Data!$B$63:$AA$75,MATCH(Monitor!$B27,BBG_Data!$C$63:$C$75,0),MATCH(Monitor!J$11,BBG_Data!$B$63:$AA$63,0))/100,IF(K27=1,1,0))</f>
        <v>0</v>
      </c>
      <c r="K27" s="45">
        <f>IFERROR(INDEX(BBG_Data!$B$63:$AA$75,MATCH(Monitor!$B27,BBG_Data!$C$63:$C$75,0),MATCH(Monitor!K$11,BBG_Data!$B$63:$AA$63,0))/100,IF(L27=1,1,0))</f>
        <v>0</v>
      </c>
      <c r="L27" s="45">
        <f>IFERROR(INDEX(BBG_Data!$B$63:$AA$75,MATCH(Monitor!$B27,BBG_Data!$C$63:$C$75,0),MATCH(Monitor!L$11,BBG_Data!$B$63:$AA$63,0))/100,IF(M27=1,1,0))</f>
        <v>0</v>
      </c>
      <c r="M27" s="45">
        <f>IFERROR(INDEX(BBG_Data!$B$63:$AA$75,MATCH(Monitor!$B27,BBG_Data!$C$63:$C$75,0),MATCH(Monitor!M$11,BBG_Data!$B$63:$AA$63,0))/100,IF(N27=1,1,0))</f>
        <v>0</v>
      </c>
      <c r="N27" s="45">
        <f>IFERROR(INDEX(BBG_Data!$B$63:$AA$75,MATCH(Monitor!$B27,BBG_Data!$C$63:$C$75,0),MATCH(Monitor!N$11,BBG_Data!$B$63:$AA$63,0))/100,IF(O27=1,1,0))</f>
        <v>0</v>
      </c>
      <c r="O27" s="45">
        <f>IFERROR(INDEX(BBG_Data!$B$63:$AA$75,MATCH(Monitor!$B27,BBG_Data!$C$63:$C$75,0),MATCH(Monitor!O$11,BBG_Data!$B$63:$AA$63,0))/100,IF(P27=1,1,0))</f>
        <v>0</v>
      </c>
      <c r="P27" s="45">
        <f>IFERROR(INDEX(BBG_Data!$B$63:$AA$75,MATCH(Monitor!$B27,BBG_Data!$C$63:$C$75,0),MATCH(Monitor!P$11,BBG_Data!$B$63:$AA$63,0))/100,IF(Q27=1,1,0))</f>
        <v>0</v>
      </c>
      <c r="Q27" s="45">
        <f>IFERROR(INDEX(BBG_Data!$B$63:$AA$75,MATCH(Monitor!$B27,BBG_Data!$C$63:$C$75,0),MATCH(Monitor!Q$11,BBG_Data!$B$63:$AA$63,0))/100,IF(R27=1,1,0))</f>
        <v>0</v>
      </c>
      <c r="R27" s="45">
        <f>IFERROR(INDEX(BBG_Data!$B$63:$AA$75,MATCH(Monitor!$B27,BBG_Data!$C$63:$C$75,0),MATCH(Monitor!R$11,BBG_Data!$B$63:$AA$63,0))/100,IF(S27=1,1,0))</f>
        <v>0</v>
      </c>
      <c r="S27" s="45">
        <f>IFERROR(INDEX(BBG_Data!$B$63:$AA$75,MATCH(Monitor!$B27,BBG_Data!$C$63:$C$75,0),MATCH(Monitor!S$11,BBG_Data!$B$63:$AA$63,0))/100,IF(T27=1,1,0))</f>
        <v>0</v>
      </c>
      <c r="T27" s="46">
        <f>IFERROR(INDEX(BBG_Data!$B$63:$AA$75,MATCH(Monitor!$B27,BBG_Data!$C$63:$C$75,0),MATCH(Monitor!T$11,BBG_Data!$B$63:$AA$63,0))/100,IF(U27=1,1,0))</f>
        <v>0</v>
      </c>
    </row>
    <row r="28" spans="2:20" x14ac:dyDescent="0.25">
      <c r="B28" s="58" t="str">
        <f>"Source: Bloomberg WIRP    Data Updated: "&amp; TEXT(RIGHT(BBG_Data!B1,LEN(BBG_Data!B1)-SEARCH("20",BBG_Data!B1)+1),"MM/DD/YYYY HH:MM")</f>
        <v>Source: Bloomberg WIRP    Data Updated: 07/26/2022 13:06</v>
      </c>
      <c r="C28" s="59"/>
      <c r="D28" s="59"/>
      <c r="E28" s="59"/>
      <c r="F28" s="59"/>
      <c r="G28" s="29"/>
      <c r="H28" s="60" t="s">
        <v>33</v>
      </c>
      <c r="I28" s="61"/>
      <c r="J28" s="61"/>
      <c r="K28" s="61"/>
      <c r="L28" s="61"/>
      <c r="M28" s="28"/>
      <c r="N28" s="29"/>
      <c r="O28" s="41" t="s">
        <v>32</v>
      </c>
      <c r="P28" s="41"/>
      <c r="Q28" s="41"/>
      <c r="R28" s="41"/>
      <c r="S28" s="29"/>
      <c r="T28" s="30"/>
    </row>
    <row r="29" spans="2:20" ht="15.75" customHeight="1" x14ac:dyDescent="0.25">
      <c r="B29" s="7"/>
      <c r="C29" s="7"/>
      <c r="D29" s="7"/>
      <c r="E29" s="7"/>
      <c r="F29" s="8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20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2:20" ht="15" customHeight="1" x14ac:dyDescent="0.25">
      <c r="B31" s="62" t="s">
        <v>66</v>
      </c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4"/>
    </row>
    <row r="32" spans="2:20" ht="22.5" x14ac:dyDescent="0.25">
      <c r="B32" s="31"/>
      <c r="C32" s="32" t="s">
        <v>16</v>
      </c>
      <c r="D32" s="33" t="s">
        <v>17</v>
      </c>
      <c r="E32" s="33" t="s">
        <v>18</v>
      </c>
      <c r="F32" s="33" t="s">
        <v>19</v>
      </c>
      <c r="G32" s="33" t="s">
        <v>20</v>
      </c>
      <c r="H32" s="33" t="s">
        <v>21</v>
      </c>
      <c r="I32" s="33" t="s">
        <v>22</v>
      </c>
      <c r="J32" s="33" t="s">
        <v>23</v>
      </c>
      <c r="K32" s="33" t="s">
        <v>30</v>
      </c>
      <c r="L32" s="33" t="s">
        <v>24</v>
      </c>
      <c r="M32" s="33" t="s">
        <v>25</v>
      </c>
      <c r="N32" s="33" t="s">
        <v>26</v>
      </c>
      <c r="O32" s="33" t="s">
        <v>27</v>
      </c>
      <c r="P32" s="33" t="s">
        <v>28</v>
      </c>
      <c r="Q32" s="33" t="s">
        <v>29</v>
      </c>
      <c r="R32" s="33" t="s">
        <v>31</v>
      </c>
      <c r="S32" s="33" t="s">
        <v>72</v>
      </c>
      <c r="T32" s="34" t="s">
        <v>73</v>
      </c>
    </row>
    <row r="33" spans="2:20" ht="22.5" x14ac:dyDescent="0.25">
      <c r="B33" s="35" t="s">
        <v>68</v>
      </c>
      <c r="C33" s="36" t="s">
        <v>67</v>
      </c>
      <c r="D33" s="36" t="s">
        <v>14</v>
      </c>
      <c r="E33" s="37" t="s">
        <v>0</v>
      </c>
      <c r="F33" s="37" t="s">
        <v>1</v>
      </c>
      <c r="G33" s="37" t="s">
        <v>2</v>
      </c>
      <c r="H33" s="36" t="s">
        <v>3</v>
      </c>
      <c r="I33" s="36" t="s">
        <v>4</v>
      </c>
      <c r="J33" s="36" t="s">
        <v>5</v>
      </c>
      <c r="K33" s="36" t="s">
        <v>6</v>
      </c>
      <c r="L33" s="36" t="s">
        <v>7</v>
      </c>
      <c r="M33" s="36" t="s">
        <v>8</v>
      </c>
      <c r="N33" s="36" t="s">
        <v>9</v>
      </c>
      <c r="O33" s="36" t="s">
        <v>10</v>
      </c>
      <c r="P33" s="36" t="s">
        <v>11</v>
      </c>
      <c r="Q33" s="36" t="s">
        <v>12</v>
      </c>
      <c r="R33" s="36" t="s">
        <v>13</v>
      </c>
      <c r="S33" s="36" t="s">
        <v>70</v>
      </c>
      <c r="T33" s="38" t="s">
        <v>71</v>
      </c>
    </row>
    <row r="34" spans="2:20" x14ac:dyDescent="0.25">
      <c r="B34" s="25">
        <v>44636</v>
      </c>
      <c r="C34" s="6"/>
      <c r="D34" s="5" t="s">
        <v>15</v>
      </c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39"/>
    </row>
    <row r="35" spans="2:20" x14ac:dyDescent="0.25">
      <c r="B35" s="25">
        <v>44685</v>
      </c>
      <c r="C35" s="6"/>
      <c r="D35" s="11"/>
      <c r="E35" s="13" t="s">
        <v>15</v>
      </c>
      <c r="F35" s="13" t="s">
        <v>15</v>
      </c>
      <c r="G35" s="10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26"/>
    </row>
    <row r="36" spans="2:20" x14ac:dyDescent="0.25">
      <c r="B36" s="25">
        <v>44727</v>
      </c>
      <c r="C36" s="6"/>
      <c r="D36" s="11"/>
      <c r="E36" s="9"/>
      <c r="F36" s="9"/>
      <c r="G36" s="13" t="s">
        <v>15</v>
      </c>
      <c r="H36" s="13" t="s">
        <v>15</v>
      </c>
      <c r="I36" s="13" t="s">
        <v>15</v>
      </c>
      <c r="J36" s="10"/>
      <c r="K36" s="9"/>
      <c r="L36" s="9"/>
      <c r="M36" s="9"/>
      <c r="N36" s="9"/>
      <c r="O36" s="9"/>
      <c r="P36" s="9"/>
      <c r="Q36" s="9"/>
      <c r="R36" s="9"/>
      <c r="S36" s="9"/>
      <c r="T36" s="26"/>
    </row>
    <row r="37" spans="2:20" x14ac:dyDescent="0.25">
      <c r="B37" s="25">
        <v>44769</v>
      </c>
      <c r="C37" s="6">
        <v>2.9799999999999995</v>
      </c>
      <c r="D37" s="11"/>
      <c r="E37" s="9"/>
      <c r="F37" s="9"/>
      <c r="G37" s="9"/>
      <c r="H37" s="9"/>
      <c r="I37" s="9"/>
      <c r="J37" s="14">
        <v>1</v>
      </c>
      <c r="K37" s="14">
        <v>1</v>
      </c>
      <c r="L37" s="14">
        <v>0.98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27">
        <v>0</v>
      </c>
    </row>
    <row r="38" spans="2:20" x14ac:dyDescent="0.25">
      <c r="B38" s="25">
        <v>44825</v>
      </c>
      <c r="C38" s="6">
        <v>2.2800000000000011</v>
      </c>
      <c r="D38" s="11"/>
      <c r="E38" s="9"/>
      <c r="F38" s="9"/>
      <c r="G38" s="9"/>
      <c r="H38" s="9"/>
      <c r="I38" s="9"/>
      <c r="J38" s="14">
        <v>1</v>
      </c>
      <c r="K38" s="14">
        <v>1</v>
      </c>
      <c r="L38" s="14">
        <v>1</v>
      </c>
      <c r="M38" s="14">
        <v>1</v>
      </c>
      <c r="N38" s="14">
        <v>0.98560000000000003</v>
      </c>
      <c r="O38" s="14">
        <v>0.27440000000000003</v>
      </c>
      <c r="P38" s="14">
        <v>0</v>
      </c>
      <c r="Q38" s="14">
        <v>0</v>
      </c>
      <c r="R38" s="14">
        <v>0</v>
      </c>
      <c r="S38" s="14">
        <v>0</v>
      </c>
      <c r="T38" s="27">
        <v>0</v>
      </c>
    </row>
    <row r="39" spans="2:20" x14ac:dyDescent="0.25">
      <c r="B39" s="25">
        <v>44867</v>
      </c>
      <c r="C39" s="6">
        <v>1.4559999999999997</v>
      </c>
      <c r="D39" s="11"/>
      <c r="E39" s="9"/>
      <c r="F39" s="9"/>
      <c r="G39" s="9"/>
      <c r="H39" s="9"/>
      <c r="I39" s="9"/>
      <c r="J39" s="14">
        <v>1</v>
      </c>
      <c r="K39" s="14">
        <v>1</v>
      </c>
      <c r="L39" s="14">
        <v>1</v>
      </c>
      <c r="M39" s="14">
        <v>1</v>
      </c>
      <c r="N39" s="14">
        <v>1</v>
      </c>
      <c r="O39" s="14">
        <v>0.99219999999999997</v>
      </c>
      <c r="P39" s="14">
        <v>0.59870000000000001</v>
      </c>
      <c r="Q39" s="14">
        <v>0.12509999999999999</v>
      </c>
      <c r="R39" s="14">
        <v>0</v>
      </c>
      <c r="S39" s="14">
        <v>0</v>
      </c>
      <c r="T39" s="27">
        <v>0</v>
      </c>
    </row>
    <row r="40" spans="2:20" x14ac:dyDescent="0.25">
      <c r="B40" s="25">
        <v>44909</v>
      </c>
      <c r="C40" s="6">
        <v>0.62400000000000055</v>
      </c>
      <c r="D40" s="11"/>
      <c r="E40" s="9"/>
      <c r="F40" s="9"/>
      <c r="G40" s="9"/>
      <c r="H40" s="9"/>
      <c r="I40" s="9"/>
      <c r="J40" s="14">
        <v>1</v>
      </c>
      <c r="K40" s="14">
        <v>1</v>
      </c>
      <c r="L40" s="14">
        <v>1</v>
      </c>
      <c r="M40" s="14">
        <v>1</v>
      </c>
      <c r="N40" s="14">
        <v>1</v>
      </c>
      <c r="O40" s="14">
        <v>0.997</v>
      </c>
      <c r="P40" s="14">
        <v>0.84420000000000006</v>
      </c>
      <c r="Q40" s="14">
        <v>0.42060000000000003</v>
      </c>
      <c r="R40" s="14">
        <v>7.8100000000000003E-2</v>
      </c>
      <c r="S40" s="14">
        <v>0</v>
      </c>
      <c r="T40" s="27">
        <v>0</v>
      </c>
    </row>
    <row r="41" spans="2:20" x14ac:dyDescent="0.25">
      <c r="B41" s="47">
        <v>44958</v>
      </c>
      <c r="C41" s="48">
        <v>0.12399999999999878</v>
      </c>
      <c r="D41" s="49"/>
      <c r="E41" s="12"/>
      <c r="F41" s="12"/>
      <c r="G41" s="12"/>
      <c r="H41" s="12"/>
      <c r="I41" s="12"/>
      <c r="J41" s="50">
        <v>1</v>
      </c>
      <c r="K41" s="50">
        <v>1</v>
      </c>
      <c r="L41" s="50">
        <v>1</v>
      </c>
      <c r="M41" s="50">
        <v>1</v>
      </c>
      <c r="N41" s="50">
        <v>1</v>
      </c>
      <c r="O41" s="50">
        <v>0.99739999999999995</v>
      </c>
      <c r="P41" s="50">
        <v>0.86319999999999997</v>
      </c>
      <c r="Q41" s="50">
        <v>0.47320000000000001</v>
      </c>
      <c r="R41" s="50">
        <v>0.1206</v>
      </c>
      <c r="S41" s="50">
        <v>9.7000000000000003E-3</v>
      </c>
      <c r="T41" s="51">
        <v>0</v>
      </c>
    </row>
    <row r="42" spans="2:20" x14ac:dyDescent="0.25">
      <c r="B42" s="25">
        <v>45000</v>
      </c>
      <c r="C42" s="6">
        <v>-5.5999999999999162E-2</v>
      </c>
      <c r="D42" s="11"/>
      <c r="E42" s="9"/>
      <c r="F42" s="9"/>
      <c r="G42" s="9"/>
      <c r="H42" s="9"/>
      <c r="I42" s="9"/>
      <c r="J42" s="14">
        <v>1</v>
      </c>
      <c r="K42" s="14">
        <v>1</v>
      </c>
      <c r="L42" s="14">
        <v>1</v>
      </c>
      <c r="M42" s="14">
        <v>1</v>
      </c>
      <c r="N42" s="14">
        <v>0.9998999999999999</v>
      </c>
      <c r="O42" s="14">
        <v>0.9899</v>
      </c>
      <c r="P42" s="14">
        <v>0.84129999999999994</v>
      </c>
      <c r="Q42" s="14">
        <v>0.45340000000000003</v>
      </c>
      <c r="R42" s="14">
        <v>0.1144</v>
      </c>
      <c r="S42" s="14">
        <v>9.1000000000000004E-3</v>
      </c>
      <c r="T42" s="27">
        <v>0</v>
      </c>
    </row>
    <row r="43" spans="2:20" x14ac:dyDescent="0.25">
      <c r="B43" s="25">
        <v>45049</v>
      </c>
      <c r="C43" s="6">
        <v>-0.26400000000000112</v>
      </c>
      <c r="D43" s="11"/>
      <c r="E43" s="9"/>
      <c r="F43" s="9"/>
      <c r="G43" s="9"/>
      <c r="H43" s="9"/>
      <c r="I43" s="9"/>
      <c r="J43" s="14">
        <v>1</v>
      </c>
      <c r="K43" s="14">
        <v>1</v>
      </c>
      <c r="L43" s="14">
        <v>1</v>
      </c>
      <c r="M43" s="14">
        <v>1</v>
      </c>
      <c r="N43" s="14">
        <v>0.99719999999999998</v>
      </c>
      <c r="O43" s="14">
        <v>0.95069999999999988</v>
      </c>
      <c r="P43" s="14">
        <v>0.7389</v>
      </c>
      <c r="Q43" s="14">
        <v>0.3639</v>
      </c>
      <c r="R43" s="14">
        <v>8.6599999999999996E-2</v>
      </c>
      <c r="S43" s="14">
        <v>6.7000000000000002E-3</v>
      </c>
      <c r="T43" s="27">
        <v>0</v>
      </c>
    </row>
    <row r="44" spans="2:20" x14ac:dyDescent="0.25">
      <c r="B44" s="25">
        <v>45091</v>
      </c>
      <c r="C44" s="6">
        <v>-0.39599999999999902</v>
      </c>
      <c r="D44" s="11"/>
      <c r="E44" s="9"/>
      <c r="F44" s="9"/>
      <c r="G44" s="9"/>
      <c r="H44" s="9"/>
      <c r="I44" s="9"/>
      <c r="J44" s="14">
        <v>1</v>
      </c>
      <c r="K44" s="14">
        <v>1</v>
      </c>
      <c r="L44" s="14">
        <v>1</v>
      </c>
      <c r="M44" s="14">
        <v>0.99890000000000001</v>
      </c>
      <c r="N44" s="14">
        <v>0.9788</v>
      </c>
      <c r="O44" s="14">
        <v>0.86680000000000001</v>
      </c>
      <c r="P44" s="14">
        <v>0.59040000000000004</v>
      </c>
      <c r="Q44" s="14">
        <v>0.25409999999999999</v>
      </c>
      <c r="R44" s="14">
        <v>5.5E-2</v>
      </c>
      <c r="S44" s="14">
        <v>4.0999999999999995E-3</v>
      </c>
      <c r="T44" s="27">
        <v>0</v>
      </c>
    </row>
    <row r="45" spans="2:20" x14ac:dyDescent="0.25">
      <c r="B45" s="25">
        <v>45133</v>
      </c>
      <c r="C45" s="6">
        <v>-0.41999999999999993</v>
      </c>
      <c r="D45" s="11"/>
      <c r="E45" s="9"/>
      <c r="F45" s="9"/>
      <c r="G45" s="9"/>
      <c r="H45" s="9"/>
      <c r="I45" s="9"/>
      <c r="J45" s="14">
        <v>1</v>
      </c>
      <c r="K45" s="14">
        <v>1</v>
      </c>
      <c r="L45" s="14">
        <v>0.99950000000000006</v>
      </c>
      <c r="M45" s="14">
        <v>0.99040000000000006</v>
      </c>
      <c r="N45" s="14">
        <v>0.93180000000000007</v>
      </c>
      <c r="O45" s="14">
        <v>0.75069999999999992</v>
      </c>
      <c r="P45" s="14">
        <v>0.44920000000000004</v>
      </c>
      <c r="Q45" s="14">
        <v>0.1704</v>
      </c>
      <c r="R45" s="14">
        <v>3.3599999999999998E-2</v>
      </c>
      <c r="S45" s="14">
        <v>2.3999999999999998E-3</v>
      </c>
      <c r="T45" s="27">
        <v>0</v>
      </c>
    </row>
    <row r="46" spans="2:20" x14ac:dyDescent="0.25">
      <c r="B46" s="25">
        <v>45189</v>
      </c>
      <c r="C46" s="6">
        <v>-0.3879999999999999</v>
      </c>
      <c r="D46" s="11"/>
      <c r="E46" s="9"/>
      <c r="F46" s="9"/>
      <c r="G46" s="9"/>
      <c r="H46" s="9"/>
      <c r="I46" s="9"/>
      <c r="J46" s="14">
        <v>1</v>
      </c>
      <c r="K46" s="14">
        <v>0.99980000000000002</v>
      </c>
      <c r="L46" s="14">
        <v>0.996</v>
      </c>
      <c r="M46" s="14">
        <v>0.9677</v>
      </c>
      <c r="N46" s="14">
        <v>0.86150000000000004</v>
      </c>
      <c r="O46" s="14">
        <v>0.63369999999999993</v>
      </c>
      <c r="P46" s="14">
        <v>0.34100000000000003</v>
      </c>
      <c r="Q46" s="14">
        <v>0.1173</v>
      </c>
      <c r="R46" s="14">
        <v>2.1499999999999998E-2</v>
      </c>
      <c r="S46" s="14">
        <v>1.4000000000000002E-3</v>
      </c>
      <c r="T46" s="27">
        <v>0</v>
      </c>
    </row>
    <row r="47" spans="2:20" x14ac:dyDescent="0.25">
      <c r="B47" s="25">
        <v>45231</v>
      </c>
      <c r="C47" s="6">
        <v>-0.33200000000000074</v>
      </c>
      <c r="D47" s="11"/>
      <c r="E47" s="9"/>
      <c r="F47" s="9"/>
      <c r="G47" s="9"/>
      <c r="H47" s="9"/>
      <c r="I47" s="9"/>
      <c r="J47" s="14">
        <v>0.9998999999999999</v>
      </c>
      <c r="K47" s="14">
        <v>0.99849999999999994</v>
      </c>
      <c r="L47" s="14">
        <v>0.98659999999999992</v>
      </c>
      <c r="M47" s="14">
        <v>0.9323999999999999</v>
      </c>
      <c r="N47" s="14">
        <v>0.78590000000000004</v>
      </c>
      <c r="O47" s="14">
        <v>0.53649999999999998</v>
      </c>
      <c r="P47" s="14">
        <v>0.26679999999999998</v>
      </c>
      <c r="Q47" s="14">
        <v>8.5500000000000007E-2</v>
      </c>
      <c r="R47" s="14">
        <v>1.4800000000000001E-2</v>
      </c>
      <c r="S47" s="14">
        <v>1E-3</v>
      </c>
      <c r="T47" s="27">
        <v>0</v>
      </c>
    </row>
    <row r="48" spans="2:20" x14ac:dyDescent="0.25">
      <c r="B48" s="52">
        <v>45273</v>
      </c>
      <c r="C48" s="53">
        <v>-0.2759999999999998</v>
      </c>
      <c r="D48" s="54"/>
      <c r="E48" s="55"/>
      <c r="F48" s="55"/>
      <c r="G48" s="55"/>
      <c r="H48" s="55"/>
      <c r="I48" s="55"/>
      <c r="J48" s="56">
        <v>0.99959999999999993</v>
      </c>
      <c r="K48" s="56">
        <v>0.99529999999999996</v>
      </c>
      <c r="L48" s="56">
        <v>0.97170000000000001</v>
      </c>
      <c r="M48" s="56">
        <v>0.89200000000000002</v>
      </c>
      <c r="N48" s="56">
        <v>0.71709999999999996</v>
      </c>
      <c r="O48" s="56">
        <v>0.46210000000000001</v>
      </c>
      <c r="P48" s="56">
        <v>0.2167</v>
      </c>
      <c r="Q48" s="56">
        <v>6.6000000000000003E-2</v>
      </c>
      <c r="R48" s="56">
        <v>1.1000000000000001E-2</v>
      </c>
      <c r="S48" s="56">
        <v>7.000000000000001E-4</v>
      </c>
      <c r="T48" s="57">
        <v>0</v>
      </c>
    </row>
    <row r="49" spans="2:20" x14ac:dyDescent="0.25">
      <c r="B49" s="58" t="s">
        <v>74</v>
      </c>
      <c r="C49" s="59"/>
      <c r="D49" s="59"/>
      <c r="E49" s="59"/>
      <c r="F49" s="59"/>
      <c r="G49" s="29"/>
      <c r="H49" s="60" t="s">
        <v>33</v>
      </c>
      <c r="I49" s="61"/>
      <c r="J49" s="61"/>
      <c r="K49" s="61"/>
      <c r="L49" s="61"/>
      <c r="M49" s="28"/>
      <c r="N49" s="29"/>
      <c r="O49" s="41" t="s">
        <v>32</v>
      </c>
      <c r="P49" s="41"/>
      <c r="Q49" s="41"/>
      <c r="R49" s="41"/>
      <c r="S49" s="29"/>
      <c r="T49" s="30"/>
    </row>
  </sheetData>
  <mergeCells count="7">
    <mergeCell ref="B49:F49"/>
    <mergeCell ref="H49:L49"/>
    <mergeCell ref="B9:T9"/>
    <mergeCell ref="B2:E5"/>
    <mergeCell ref="B28:F28"/>
    <mergeCell ref="H28:L28"/>
    <mergeCell ref="B31:T31"/>
  </mergeCells>
  <conditionalFormatting sqref="M28 E12:R12 E14:F14 H13:R13 E15:R16">
    <cfRule type="cellIs" dxfId="19" priority="21" operator="between">
      <formula>0.4</formula>
      <formula>0.5</formula>
    </cfRule>
    <cfRule type="cellIs" dxfId="18" priority="22" operator="greaterThan">
      <formula>0.5</formula>
    </cfRule>
  </conditionalFormatting>
  <conditionalFormatting sqref="S12:T13 S15:T16">
    <cfRule type="cellIs" dxfId="17" priority="17" operator="between">
      <formula>0.4</formula>
      <formula>0.5</formula>
    </cfRule>
    <cfRule type="cellIs" dxfId="16" priority="18" operator="greaterThan">
      <formula>0.5</formula>
    </cfRule>
  </conditionalFormatting>
  <conditionalFormatting sqref="K14:T14">
    <cfRule type="cellIs" dxfId="15" priority="15" operator="between">
      <formula>0.4</formula>
      <formula>0.5</formula>
    </cfRule>
    <cfRule type="cellIs" dxfId="14" priority="16" operator="greaterThan">
      <formula>0.5</formula>
    </cfRule>
  </conditionalFormatting>
  <conditionalFormatting sqref="E17:R27">
    <cfRule type="cellIs" dxfId="13" priority="13" operator="between">
      <formula>0.4</formula>
      <formula>0.5</formula>
    </cfRule>
    <cfRule type="cellIs" dxfId="12" priority="14" operator="greaterThan">
      <formula>0.5</formula>
    </cfRule>
  </conditionalFormatting>
  <conditionalFormatting sqref="S17:T27">
    <cfRule type="cellIs" dxfId="11" priority="11" operator="between">
      <formula>0.4</formula>
      <formula>0.5</formula>
    </cfRule>
    <cfRule type="cellIs" dxfId="10" priority="12" operator="greaterThan">
      <formula>0.5</formula>
    </cfRule>
  </conditionalFormatting>
  <conditionalFormatting sqref="S39:T48">
    <cfRule type="cellIs" dxfId="9" priority="1" operator="between">
      <formula>0.4</formula>
      <formula>0.5</formula>
    </cfRule>
    <cfRule type="cellIs" dxfId="8" priority="2" operator="greaterThan">
      <formula>0.5</formula>
    </cfRule>
  </conditionalFormatting>
  <conditionalFormatting sqref="M49 E34:R34 E36:F36 H35:R35 E37:R38">
    <cfRule type="cellIs" dxfId="7" priority="9" operator="between">
      <formula>0.4</formula>
      <formula>0.5</formula>
    </cfRule>
    <cfRule type="cellIs" dxfId="6" priority="10" operator="greaterThan">
      <formula>0.5</formula>
    </cfRule>
  </conditionalFormatting>
  <conditionalFormatting sqref="S34:T35 S37:T38">
    <cfRule type="cellIs" dxfId="5" priority="7" operator="between">
      <formula>0.4</formula>
      <formula>0.5</formula>
    </cfRule>
    <cfRule type="cellIs" dxfId="4" priority="8" operator="greaterThan">
      <formula>0.5</formula>
    </cfRule>
  </conditionalFormatting>
  <conditionalFormatting sqref="K36:T36">
    <cfRule type="cellIs" dxfId="3" priority="5" operator="between">
      <formula>0.4</formula>
      <formula>0.5</formula>
    </cfRule>
    <cfRule type="cellIs" dxfId="2" priority="6" operator="greaterThan">
      <formula>0.5</formula>
    </cfRule>
  </conditionalFormatting>
  <conditionalFormatting sqref="E39:R48">
    <cfRule type="cellIs" dxfId="1" priority="3" operator="between">
      <formula>0.4</formula>
      <formula>0.5</formula>
    </cfRule>
    <cfRule type="cellIs" dxfId="0" priority="4" operator="greaterThan">
      <formula>0.5</formula>
    </cfRule>
  </conditionalFormatting>
  <pageMargins left="0.7" right="0.7" top="0.75" bottom="0.75" header="0.3" footer="0.3"/>
  <pageSetup orientation="portrait" r:id="rId1"/>
  <headerFooter>
    <oddFooter>&amp;C&amp;1#&amp;"Calibri"&amp;8&amp;K000000Classification: Internal Use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Fed_Hike_Probability">
                <anchor moveWithCells="1" sizeWithCells="1">
                  <from>
                    <xdr:col>12</xdr:col>
                    <xdr:colOff>409575</xdr:colOff>
                    <xdr:row>1</xdr:row>
                    <xdr:rowOff>9525</xdr:rowOff>
                  </from>
                  <to>
                    <xdr:col>15</xdr:col>
                    <xdr:colOff>400050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ndEmail">
                <anchor moveWithCells="1" sizeWithCells="1">
                  <from>
                    <xdr:col>16</xdr:col>
                    <xdr:colOff>304800</xdr:colOff>
                    <xdr:row>1</xdr:row>
                    <xdr:rowOff>9525</xdr:rowOff>
                  </from>
                  <to>
                    <xdr:col>19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B5158-51DA-407E-BAA8-765DE783537B}">
  <sheetPr codeName="Sheet2">
    <tabColor theme="9" tint="0.59999389629810485"/>
  </sheetPr>
  <dimension ref="B1:Q76"/>
  <sheetViews>
    <sheetView topLeftCell="E28" zoomScale="120" zoomScaleNormal="120" workbookViewId="0">
      <selection activeCell="N42" sqref="N42"/>
    </sheetView>
  </sheetViews>
  <sheetFormatPr defaultRowHeight="15" x14ac:dyDescent="0.25"/>
  <cols>
    <col min="2" max="24" width="11.42578125" customWidth="1"/>
    <col min="26" max="37" width="11.42578125" customWidth="1"/>
  </cols>
  <sheetData>
    <row r="1" spans="2:7" x14ac:dyDescent="0.25">
      <c r="B1" t="s">
        <v>75</v>
      </c>
    </row>
    <row r="3" spans="2:7" x14ac:dyDescent="0.25">
      <c r="B3" s="17"/>
      <c r="C3" s="17" t="s">
        <v>41</v>
      </c>
      <c r="D3" s="17" t="s">
        <v>42</v>
      </c>
      <c r="E3" s="17" t="s">
        <v>43</v>
      </c>
      <c r="F3" s="17" t="s">
        <v>44</v>
      </c>
      <c r="G3" s="17" t="s">
        <v>45</v>
      </c>
    </row>
    <row r="4" spans="2:7" x14ac:dyDescent="0.25">
      <c r="B4" s="18">
        <v>0</v>
      </c>
      <c r="C4" s="15">
        <v>44768</v>
      </c>
      <c r="D4" s="16">
        <v>0</v>
      </c>
      <c r="G4">
        <v>1.58</v>
      </c>
    </row>
    <row r="5" spans="2:7" x14ac:dyDescent="0.25">
      <c r="B5" s="18">
        <v>1</v>
      </c>
      <c r="C5" s="15">
        <v>44769</v>
      </c>
      <c r="D5" s="16">
        <v>3.1280000000000001</v>
      </c>
      <c r="E5">
        <v>312.8</v>
      </c>
      <c r="F5">
        <v>0.78200000000000003</v>
      </c>
      <c r="G5">
        <v>2.3620000000000001</v>
      </c>
    </row>
    <row r="6" spans="2:7" x14ac:dyDescent="0.25">
      <c r="B6" s="18">
        <v>2</v>
      </c>
      <c r="C6" s="15">
        <v>44825</v>
      </c>
      <c r="D6" s="16">
        <v>5.4559999999999995</v>
      </c>
      <c r="E6">
        <v>232.79999999999995</v>
      </c>
      <c r="F6">
        <v>0.58199999999999985</v>
      </c>
      <c r="G6">
        <v>2.944</v>
      </c>
    </row>
    <row r="7" spans="2:7" x14ac:dyDescent="0.25">
      <c r="B7" s="18">
        <v>3</v>
      </c>
      <c r="C7" s="15">
        <v>44867</v>
      </c>
      <c r="D7" s="16">
        <v>6.74</v>
      </c>
      <c r="E7">
        <v>128.40000000000006</v>
      </c>
      <c r="F7">
        <v>0.32100000000000017</v>
      </c>
      <c r="G7">
        <v>3.2650000000000001</v>
      </c>
    </row>
    <row r="8" spans="2:7" x14ac:dyDescent="0.25">
      <c r="B8" s="18">
        <v>4</v>
      </c>
      <c r="C8" s="15">
        <v>44909</v>
      </c>
      <c r="D8" s="16">
        <v>7.1920000000000002</v>
      </c>
      <c r="E8">
        <v>45.199999999999996</v>
      </c>
      <c r="F8">
        <v>0.11299999999999999</v>
      </c>
      <c r="G8">
        <v>3.3780000000000001</v>
      </c>
    </row>
    <row r="9" spans="2:7" x14ac:dyDescent="0.25">
      <c r="B9" s="18">
        <v>5</v>
      </c>
      <c r="C9" s="15">
        <v>44958</v>
      </c>
      <c r="D9" s="16">
        <v>7.1559999999999988</v>
      </c>
      <c r="E9">
        <v>-3.6000000000001364</v>
      </c>
      <c r="F9">
        <v>-9.0000000000003411E-3</v>
      </c>
      <c r="G9">
        <v>3.3689999999999998</v>
      </c>
    </row>
    <row r="10" spans="2:7" x14ac:dyDescent="0.25">
      <c r="B10" s="18">
        <v>6</v>
      </c>
      <c r="C10" s="15">
        <v>45000</v>
      </c>
      <c r="D10" s="16">
        <v>6.9599999999999991</v>
      </c>
      <c r="E10">
        <v>-19.599999999999973</v>
      </c>
      <c r="F10">
        <v>-4.8999999999999932E-2</v>
      </c>
      <c r="G10">
        <v>3.32</v>
      </c>
    </row>
    <row r="11" spans="2:7" x14ac:dyDescent="0.25">
      <c r="B11" s="18">
        <v>7</v>
      </c>
      <c r="C11" s="15">
        <v>45049</v>
      </c>
      <c r="D11" s="16">
        <v>6.5719999999999992</v>
      </c>
      <c r="E11">
        <v>-38.79999999999999</v>
      </c>
      <c r="F11">
        <v>-9.6999999999999975E-2</v>
      </c>
      <c r="G11">
        <v>3.2229999999999999</v>
      </c>
    </row>
    <row r="12" spans="2:7" x14ac:dyDescent="0.25">
      <c r="B12" s="18">
        <v>8</v>
      </c>
      <c r="C12" s="15">
        <v>45091</v>
      </c>
      <c r="D12" s="16">
        <v>6.24</v>
      </c>
      <c r="E12">
        <v>-33.199999999999896</v>
      </c>
      <c r="F12">
        <v>-8.2999999999999741E-2</v>
      </c>
      <c r="G12">
        <v>3.14</v>
      </c>
    </row>
    <row r="13" spans="2:7" x14ac:dyDescent="0.25">
      <c r="B13" s="18">
        <v>9</v>
      </c>
      <c r="C13" s="15">
        <v>45133</v>
      </c>
      <c r="D13" s="16">
        <v>5.9399999999999995</v>
      </c>
      <c r="E13">
        <v>-30.000000000000071</v>
      </c>
      <c r="F13">
        <v>-7.5000000000000178E-2</v>
      </c>
      <c r="G13">
        <v>3.0649999999999999</v>
      </c>
    </row>
    <row r="14" spans="2:7" x14ac:dyDescent="0.25">
      <c r="B14" s="18">
        <v>10</v>
      </c>
      <c r="C14" s="15">
        <v>45189</v>
      </c>
      <c r="D14" s="16">
        <v>5.5599999999999987</v>
      </c>
      <c r="E14">
        <v>-38.000000000000078</v>
      </c>
      <c r="F14">
        <v>-9.5000000000000195E-2</v>
      </c>
      <c r="G14">
        <v>2.9699999999999998</v>
      </c>
    </row>
    <row r="15" spans="2:7" x14ac:dyDescent="0.25">
      <c r="B15" s="18">
        <v>11</v>
      </c>
      <c r="C15" s="15">
        <v>45231</v>
      </c>
      <c r="D15" s="16">
        <v>5.3000000000000007</v>
      </c>
      <c r="E15">
        <v>-25.999999999999801</v>
      </c>
      <c r="F15">
        <v>-6.4999999999999503E-2</v>
      </c>
      <c r="G15">
        <v>2.9050000000000002</v>
      </c>
    </row>
    <row r="16" spans="2:7" x14ac:dyDescent="0.25">
      <c r="B16" s="18">
        <v>12</v>
      </c>
      <c r="C16" s="15">
        <v>45273</v>
      </c>
      <c r="D16" s="16">
        <v>5.0199999999999996</v>
      </c>
      <c r="E16">
        <v>-28.000000000000114</v>
      </c>
      <c r="F16">
        <v>-7.0000000000000284E-2</v>
      </c>
      <c r="G16">
        <v>2.835</v>
      </c>
    </row>
    <row r="17" spans="2:7" x14ac:dyDescent="0.25">
      <c r="B17" s="18">
        <v>13</v>
      </c>
      <c r="C17" s="15">
        <v>45322</v>
      </c>
      <c r="D17" s="16">
        <v>4.7479999999999993</v>
      </c>
      <c r="E17">
        <v>-27.200000000000024</v>
      </c>
      <c r="F17">
        <v>-6.800000000000006E-2</v>
      </c>
      <c r="G17">
        <v>2.7669999999999999</v>
      </c>
    </row>
    <row r="33" spans="2:17" x14ac:dyDescent="0.25">
      <c r="B33" s="17"/>
      <c r="C33" s="17" t="s">
        <v>46</v>
      </c>
      <c r="D33" s="17" t="s">
        <v>1</v>
      </c>
      <c r="E33" s="17" t="s">
        <v>2</v>
      </c>
      <c r="F33" s="17" t="s">
        <v>3</v>
      </c>
      <c r="G33" s="17" t="s">
        <v>4</v>
      </c>
      <c r="H33" s="17" t="s">
        <v>5</v>
      </c>
      <c r="I33" s="17" t="s">
        <v>6</v>
      </c>
      <c r="J33" s="17" t="s">
        <v>7</v>
      </c>
      <c r="K33" s="17" t="s">
        <v>8</v>
      </c>
      <c r="L33" s="17" t="s">
        <v>9</v>
      </c>
      <c r="M33" s="17" t="s">
        <v>10</v>
      </c>
      <c r="N33" s="17" t="s">
        <v>11</v>
      </c>
      <c r="O33" s="17" t="s">
        <v>12</v>
      </c>
      <c r="P33" s="17" t="s">
        <v>13</v>
      </c>
      <c r="Q33" s="17" t="s">
        <v>70</v>
      </c>
    </row>
    <row r="34" spans="2:17" x14ac:dyDescent="0.25">
      <c r="B34" s="18">
        <v>0</v>
      </c>
      <c r="C34" s="15">
        <v>44769</v>
      </c>
      <c r="D34" s="16">
        <v>0</v>
      </c>
      <c r="E34" s="16">
        <v>0</v>
      </c>
      <c r="F34" s="16">
        <v>0</v>
      </c>
      <c r="G34" s="16">
        <v>0</v>
      </c>
      <c r="H34" s="16">
        <v>0</v>
      </c>
      <c r="I34" s="16">
        <v>0</v>
      </c>
      <c r="J34" s="16">
        <v>87.2</v>
      </c>
      <c r="K34" s="16">
        <v>12.8</v>
      </c>
      <c r="L34" s="16">
        <v>0</v>
      </c>
      <c r="M34" s="16">
        <v>0</v>
      </c>
      <c r="N34" s="16">
        <v>0</v>
      </c>
      <c r="O34" s="16">
        <v>0</v>
      </c>
      <c r="P34" s="16">
        <v>0</v>
      </c>
      <c r="Q34" s="16">
        <v>0</v>
      </c>
    </row>
    <row r="35" spans="2:17" x14ac:dyDescent="0.25">
      <c r="B35" s="18">
        <v>1</v>
      </c>
      <c r="C35" s="15">
        <v>44825</v>
      </c>
      <c r="D35" s="16">
        <v>0</v>
      </c>
      <c r="E35" s="16">
        <v>0</v>
      </c>
      <c r="F35" s="16">
        <v>0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58.597999999999999</v>
      </c>
      <c r="M35" s="16">
        <v>37.203000000000003</v>
      </c>
      <c r="N35" s="16">
        <v>4.1980000000000004</v>
      </c>
      <c r="O35" s="16">
        <v>0</v>
      </c>
      <c r="P35" s="16">
        <v>0</v>
      </c>
      <c r="Q35" s="16">
        <v>0</v>
      </c>
    </row>
    <row r="36" spans="2:17" x14ac:dyDescent="0.25">
      <c r="B36" s="18">
        <v>2</v>
      </c>
      <c r="C36" s="15">
        <v>44867</v>
      </c>
      <c r="D36" s="16">
        <v>0</v>
      </c>
      <c r="E36" s="16">
        <v>0</v>
      </c>
      <c r="F36" s="16">
        <v>0</v>
      </c>
      <c r="G36" s="16">
        <v>0</v>
      </c>
      <c r="H36" s="16">
        <v>0</v>
      </c>
      <c r="I36" s="16">
        <v>0</v>
      </c>
      <c r="J36" s="16">
        <v>0</v>
      </c>
      <c r="K36" s="16">
        <v>0</v>
      </c>
      <c r="L36" s="16">
        <v>0</v>
      </c>
      <c r="M36" s="16">
        <v>41.956000000000003</v>
      </c>
      <c r="N36" s="16">
        <v>43.279000000000003</v>
      </c>
      <c r="O36" s="16">
        <v>13.571999999999999</v>
      </c>
      <c r="P36" s="16">
        <v>1.1919999999999999</v>
      </c>
      <c r="Q36" s="16">
        <v>0</v>
      </c>
    </row>
    <row r="37" spans="2:17" x14ac:dyDescent="0.25">
      <c r="B37" s="18">
        <v>3</v>
      </c>
      <c r="C37" s="15">
        <v>44909</v>
      </c>
      <c r="D37" s="16">
        <v>0</v>
      </c>
      <c r="E37" s="16">
        <v>0</v>
      </c>
      <c r="F37" s="16">
        <v>0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22.992000000000001</v>
      </c>
      <c r="N37" s="16">
        <v>42.680999999999997</v>
      </c>
      <c r="O37" s="16">
        <v>27</v>
      </c>
      <c r="P37" s="16">
        <v>6.7880000000000003</v>
      </c>
      <c r="Q37" s="16">
        <v>0.53900000000000003</v>
      </c>
    </row>
    <row r="38" spans="2:17" x14ac:dyDescent="0.25">
      <c r="B38" s="18">
        <v>4</v>
      </c>
      <c r="C38" s="15">
        <v>44958</v>
      </c>
      <c r="D38" s="16">
        <v>0</v>
      </c>
      <c r="E38" s="16">
        <v>0</v>
      </c>
      <c r="F38" s="16">
        <v>0</v>
      </c>
      <c r="G38" s="16">
        <v>0</v>
      </c>
      <c r="H38" s="16">
        <v>0</v>
      </c>
      <c r="I38" s="16">
        <v>0</v>
      </c>
      <c r="J38" s="16">
        <v>0</v>
      </c>
      <c r="K38" s="16">
        <v>0</v>
      </c>
      <c r="L38" s="16">
        <v>0.82799999999999996</v>
      </c>
      <c r="M38" s="16">
        <v>23.701000000000001</v>
      </c>
      <c r="N38" s="16">
        <v>42.116999999999997</v>
      </c>
      <c r="O38" s="16">
        <v>26.271999999999998</v>
      </c>
      <c r="P38" s="16">
        <v>6.5629999999999997</v>
      </c>
      <c r="Q38" s="16">
        <v>0.52</v>
      </c>
    </row>
    <row r="39" spans="2:17" x14ac:dyDescent="0.25">
      <c r="B39" s="18">
        <v>5</v>
      </c>
      <c r="C39" s="15">
        <v>45000</v>
      </c>
      <c r="D39" s="16">
        <v>0</v>
      </c>
      <c r="E39" s="16">
        <v>0</v>
      </c>
      <c r="F39" s="16">
        <v>0</v>
      </c>
      <c r="G39" s="16">
        <v>0</v>
      </c>
      <c r="H39" s="16">
        <v>0</v>
      </c>
      <c r="I39" s="16">
        <v>0</v>
      </c>
      <c r="J39" s="16">
        <v>0</v>
      </c>
      <c r="K39" s="16">
        <v>0.16200000000000001</v>
      </c>
      <c r="L39" s="16">
        <v>5.3109999999999999</v>
      </c>
      <c r="M39" s="16">
        <v>27.31</v>
      </c>
      <c r="N39" s="16">
        <v>39.011000000000003</v>
      </c>
      <c r="O39" s="16">
        <v>22.408999999999999</v>
      </c>
      <c r="P39" s="16">
        <v>5.3780000000000001</v>
      </c>
      <c r="Q39" s="16">
        <v>0.41799999999999998</v>
      </c>
    </row>
    <row r="40" spans="2:17" x14ac:dyDescent="0.25">
      <c r="B40" s="18">
        <v>6</v>
      </c>
      <c r="C40" s="15">
        <v>45049</v>
      </c>
      <c r="D40" s="16">
        <v>0</v>
      </c>
      <c r="E40" s="16">
        <v>0</v>
      </c>
      <c r="F40" s="16">
        <v>0</v>
      </c>
      <c r="G40" s="16">
        <v>0</v>
      </c>
      <c r="H40" s="16">
        <v>0</v>
      </c>
      <c r="I40" s="16">
        <v>0</v>
      </c>
      <c r="J40" s="16">
        <v>6.3E-2</v>
      </c>
      <c r="K40" s="16">
        <v>2.16</v>
      </c>
      <c r="L40" s="16">
        <v>13.847</v>
      </c>
      <c r="M40" s="16">
        <v>31.85</v>
      </c>
      <c r="N40" s="16">
        <v>32.57</v>
      </c>
      <c r="O40" s="16">
        <v>15.801</v>
      </c>
      <c r="P40" s="16">
        <v>3.4540000000000002</v>
      </c>
      <c r="Q40" s="16">
        <v>0.25600000000000001</v>
      </c>
    </row>
    <row r="41" spans="2:17" x14ac:dyDescent="0.25">
      <c r="B41" s="18">
        <v>7</v>
      </c>
      <c r="C41" s="15">
        <v>45091</v>
      </c>
      <c r="D41" s="16">
        <v>0</v>
      </c>
      <c r="E41" s="16">
        <v>0</v>
      </c>
      <c r="F41" s="16">
        <v>0</v>
      </c>
      <c r="G41" s="16">
        <v>0</v>
      </c>
      <c r="H41" s="16">
        <v>0</v>
      </c>
      <c r="I41" s="16">
        <v>2.1000000000000001E-2</v>
      </c>
      <c r="J41" s="16">
        <v>0.75900000000000001</v>
      </c>
      <c r="K41" s="16">
        <v>6.04</v>
      </c>
      <c r="L41" s="16">
        <v>19.824000000000002</v>
      </c>
      <c r="M41" s="16">
        <v>32.088999999999999</v>
      </c>
      <c r="N41" s="16">
        <v>27.001999999999999</v>
      </c>
      <c r="O41" s="16">
        <v>11.702</v>
      </c>
      <c r="P41" s="16">
        <v>2.3919999999999999</v>
      </c>
      <c r="Q41" s="16">
        <v>0.17100000000000001</v>
      </c>
    </row>
    <row r="42" spans="2:17" x14ac:dyDescent="0.25">
      <c r="B42" s="18">
        <v>8</v>
      </c>
      <c r="C42" s="15">
        <v>45133</v>
      </c>
      <c r="D42" s="16">
        <v>0</v>
      </c>
      <c r="E42" s="16">
        <v>0</v>
      </c>
      <c r="F42" s="16">
        <v>0</v>
      </c>
      <c r="G42" s="16">
        <v>0</v>
      </c>
      <c r="H42" s="16">
        <v>6.0000000000000001E-3</v>
      </c>
      <c r="I42" s="16">
        <v>0.24199999999999999</v>
      </c>
      <c r="J42" s="16">
        <v>2.343</v>
      </c>
      <c r="K42" s="16">
        <v>10.175000000000001</v>
      </c>
      <c r="L42" s="16">
        <v>23.504000000000001</v>
      </c>
      <c r="M42" s="16">
        <v>30.562999999999999</v>
      </c>
      <c r="N42" s="16">
        <v>22.411999999999999</v>
      </c>
      <c r="O42" s="16">
        <v>8.9090000000000007</v>
      </c>
      <c r="P42" s="16">
        <v>1.726</v>
      </c>
      <c r="Q42" s="16">
        <v>0.12</v>
      </c>
    </row>
    <row r="43" spans="2:17" x14ac:dyDescent="0.25">
      <c r="B43" s="18">
        <v>9</v>
      </c>
      <c r="C43" s="15">
        <v>45189</v>
      </c>
      <c r="D43" s="16">
        <v>0</v>
      </c>
      <c r="E43" s="16">
        <v>0</v>
      </c>
      <c r="F43" s="16">
        <v>0</v>
      </c>
      <c r="G43" s="16">
        <v>2E-3</v>
      </c>
      <c r="H43" s="16">
        <v>9.6000000000000002E-2</v>
      </c>
      <c r="I43" s="16">
        <v>1.0409999999999999</v>
      </c>
      <c r="J43" s="16">
        <v>5.319</v>
      </c>
      <c r="K43" s="16">
        <v>15.24</v>
      </c>
      <c r="L43" s="16">
        <v>26.186</v>
      </c>
      <c r="M43" s="16">
        <v>27.466000000000001</v>
      </c>
      <c r="N43" s="16">
        <v>17.280999999999999</v>
      </c>
      <c r="O43" s="16">
        <v>6.1790000000000003</v>
      </c>
      <c r="P43" s="16">
        <v>1.115</v>
      </c>
      <c r="Q43" s="16">
        <v>7.3999999999999996E-2</v>
      </c>
    </row>
    <row r="44" spans="2:17" x14ac:dyDescent="0.25">
      <c r="B44" s="18">
        <v>10</v>
      </c>
      <c r="C44" s="15">
        <v>45231</v>
      </c>
      <c r="D44" s="16">
        <v>0</v>
      </c>
      <c r="E44" s="16">
        <v>0</v>
      </c>
      <c r="F44" s="16">
        <v>1E-3</v>
      </c>
      <c r="G44" s="16">
        <v>2.7E-2</v>
      </c>
      <c r="H44" s="16">
        <v>0.34200000000000003</v>
      </c>
      <c r="I44" s="16">
        <v>2.153</v>
      </c>
      <c r="J44" s="16">
        <v>7.899</v>
      </c>
      <c r="K44" s="16">
        <v>18.085999999999999</v>
      </c>
      <c r="L44" s="16">
        <v>26.518999999999998</v>
      </c>
      <c r="M44" s="16">
        <v>24.818000000000001</v>
      </c>
      <c r="N44" s="16">
        <v>14.394</v>
      </c>
      <c r="O44" s="16">
        <v>4.8630000000000004</v>
      </c>
      <c r="P44" s="16">
        <v>0.84499999999999997</v>
      </c>
      <c r="Q44" s="16">
        <v>5.5E-2</v>
      </c>
    </row>
    <row r="45" spans="2:17" x14ac:dyDescent="0.25">
      <c r="B45" s="18">
        <v>11</v>
      </c>
      <c r="C45" s="15">
        <v>45273</v>
      </c>
      <c r="D45" s="16">
        <v>0</v>
      </c>
      <c r="E45" s="16">
        <v>0</v>
      </c>
      <c r="F45" s="16">
        <v>8.0000000000000002E-3</v>
      </c>
      <c r="G45" s="16">
        <v>0.115</v>
      </c>
      <c r="H45" s="16">
        <v>0.84899999999999998</v>
      </c>
      <c r="I45" s="16">
        <v>3.762</v>
      </c>
      <c r="J45" s="16">
        <v>10.750999999999999</v>
      </c>
      <c r="K45" s="16">
        <v>20.446999999999999</v>
      </c>
      <c r="L45" s="16">
        <v>26.042999999999999</v>
      </c>
      <c r="M45" s="16">
        <v>21.899000000000001</v>
      </c>
      <c r="N45" s="16">
        <v>11.726000000000001</v>
      </c>
      <c r="O45" s="16">
        <v>3.738</v>
      </c>
      <c r="P45" s="16">
        <v>0.623</v>
      </c>
      <c r="Q45" s="16">
        <v>3.9E-2</v>
      </c>
    </row>
    <row r="46" spans="2:17" x14ac:dyDescent="0.25">
      <c r="B46" s="18">
        <v>12</v>
      </c>
      <c r="C46" s="15">
        <v>45322</v>
      </c>
      <c r="D46" s="16">
        <v>0</v>
      </c>
      <c r="E46" s="16">
        <v>2E-3</v>
      </c>
      <c r="F46" s="16">
        <v>3.6999999999999998E-2</v>
      </c>
      <c r="G46" s="16">
        <v>0.315</v>
      </c>
      <c r="H46" s="16">
        <v>1.641</v>
      </c>
      <c r="I46" s="16">
        <v>5.6630000000000003</v>
      </c>
      <c r="J46" s="16">
        <v>13.388</v>
      </c>
      <c r="K46" s="16">
        <v>21.969000000000001</v>
      </c>
      <c r="L46" s="16">
        <v>24.916</v>
      </c>
      <c r="M46" s="16">
        <v>19.132000000000001</v>
      </c>
      <c r="N46" s="16">
        <v>9.5530000000000008</v>
      </c>
      <c r="O46" s="16">
        <v>2.89</v>
      </c>
      <c r="P46" s="16">
        <v>0.46500000000000002</v>
      </c>
      <c r="Q46" s="16">
        <v>2.9000000000000001E-2</v>
      </c>
    </row>
    <row r="63" spans="2:17" x14ac:dyDescent="0.25">
      <c r="B63" s="17"/>
      <c r="C63" s="17" t="s">
        <v>46</v>
      </c>
      <c r="D63" s="17" t="s">
        <v>1</v>
      </c>
      <c r="E63" s="17" t="s">
        <v>2</v>
      </c>
      <c r="F63" s="17" t="s">
        <v>3</v>
      </c>
      <c r="G63" s="17" t="s">
        <v>4</v>
      </c>
      <c r="H63" s="17" t="s">
        <v>5</v>
      </c>
      <c r="I63" s="17" t="s">
        <v>6</v>
      </c>
      <c r="J63" s="17" t="s">
        <v>7</v>
      </c>
      <c r="K63" s="17" t="s">
        <v>8</v>
      </c>
      <c r="L63" s="17" t="s">
        <v>9</v>
      </c>
      <c r="M63" s="17" t="s">
        <v>10</v>
      </c>
      <c r="N63" s="17" t="s">
        <v>11</v>
      </c>
      <c r="O63" s="17" t="s">
        <v>12</v>
      </c>
      <c r="P63" s="17" t="s">
        <v>13</v>
      </c>
      <c r="Q63" s="17" t="s">
        <v>70</v>
      </c>
    </row>
    <row r="64" spans="2:17" x14ac:dyDescent="0.25">
      <c r="B64" s="18">
        <v>0</v>
      </c>
      <c r="C64" s="15">
        <v>44769</v>
      </c>
      <c r="D64" s="16">
        <v>100</v>
      </c>
      <c r="E64" s="16">
        <v>100</v>
      </c>
      <c r="F64" s="16">
        <v>100</v>
      </c>
      <c r="G64" s="16">
        <v>100</v>
      </c>
      <c r="H64" s="16">
        <v>100</v>
      </c>
      <c r="I64" s="16">
        <v>100</v>
      </c>
      <c r="J64" s="16">
        <v>100</v>
      </c>
      <c r="K64" s="16">
        <v>12.8</v>
      </c>
      <c r="L64" s="16">
        <v>0</v>
      </c>
      <c r="M64" s="16">
        <v>0</v>
      </c>
      <c r="N64" s="16">
        <v>0</v>
      </c>
      <c r="O64" s="16">
        <v>0</v>
      </c>
      <c r="P64" s="16">
        <v>0</v>
      </c>
      <c r="Q64" s="16">
        <v>0</v>
      </c>
    </row>
    <row r="65" spans="2:17" x14ac:dyDescent="0.25">
      <c r="B65" s="18">
        <v>1</v>
      </c>
      <c r="C65" s="15">
        <v>44825</v>
      </c>
      <c r="D65" s="16">
        <v>100</v>
      </c>
      <c r="E65" s="16">
        <v>100</v>
      </c>
      <c r="F65" s="16">
        <v>100</v>
      </c>
      <c r="G65" s="16">
        <v>100</v>
      </c>
      <c r="H65" s="16">
        <v>100</v>
      </c>
      <c r="I65" s="16">
        <v>100</v>
      </c>
      <c r="J65" s="16">
        <v>100</v>
      </c>
      <c r="K65" s="16">
        <v>100</v>
      </c>
      <c r="L65" s="16">
        <v>100</v>
      </c>
      <c r="M65" s="16">
        <v>41.4</v>
      </c>
      <c r="N65" s="16">
        <v>4.2</v>
      </c>
      <c r="O65" s="16">
        <v>0</v>
      </c>
      <c r="P65" s="16">
        <v>0</v>
      </c>
      <c r="Q65" s="16">
        <v>0</v>
      </c>
    </row>
    <row r="66" spans="2:17" x14ac:dyDescent="0.25">
      <c r="B66" s="18">
        <v>2</v>
      </c>
      <c r="C66" s="15">
        <v>44867</v>
      </c>
      <c r="D66" s="16">
        <v>100</v>
      </c>
      <c r="E66" s="16">
        <v>100</v>
      </c>
      <c r="F66" s="16">
        <v>100</v>
      </c>
      <c r="G66" s="16">
        <v>100</v>
      </c>
      <c r="H66" s="16">
        <v>100</v>
      </c>
      <c r="I66" s="16">
        <v>100</v>
      </c>
      <c r="J66" s="16">
        <v>100</v>
      </c>
      <c r="K66" s="16">
        <v>100</v>
      </c>
      <c r="L66" s="16">
        <v>100</v>
      </c>
      <c r="M66" s="16">
        <v>100</v>
      </c>
      <c r="N66" s="16">
        <v>58.04</v>
      </c>
      <c r="O66" s="16">
        <v>14.76</v>
      </c>
      <c r="P66" s="16">
        <v>1.19</v>
      </c>
      <c r="Q66" s="16">
        <v>0</v>
      </c>
    </row>
    <row r="67" spans="2:17" x14ac:dyDescent="0.25">
      <c r="B67" s="18">
        <v>3</v>
      </c>
      <c r="C67" s="15">
        <v>44909</v>
      </c>
      <c r="D67" s="16">
        <v>100</v>
      </c>
      <c r="E67" s="16">
        <v>100</v>
      </c>
      <c r="F67" s="16">
        <v>100</v>
      </c>
      <c r="G67" s="16">
        <v>100</v>
      </c>
      <c r="H67" s="16">
        <v>100</v>
      </c>
      <c r="I67" s="16">
        <v>100</v>
      </c>
      <c r="J67" s="16">
        <v>100</v>
      </c>
      <c r="K67" s="16">
        <v>100</v>
      </c>
      <c r="L67" s="16">
        <v>100</v>
      </c>
      <c r="M67" s="16">
        <v>100</v>
      </c>
      <c r="N67" s="16">
        <v>77.010000000000005</v>
      </c>
      <c r="O67" s="16">
        <v>34.33</v>
      </c>
      <c r="P67" s="16">
        <v>7.33</v>
      </c>
      <c r="Q67" s="16">
        <v>0.54</v>
      </c>
    </row>
    <row r="68" spans="2:17" x14ac:dyDescent="0.25">
      <c r="B68" s="18">
        <v>4</v>
      </c>
      <c r="C68" s="15">
        <v>44958</v>
      </c>
      <c r="D68" s="16">
        <v>100</v>
      </c>
      <c r="E68" s="16">
        <v>100</v>
      </c>
      <c r="F68" s="16">
        <v>100</v>
      </c>
      <c r="G68" s="16">
        <v>100</v>
      </c>
      <c r="H68" s="16">
        <v>100</v>
      </c>
      <c r="I68" s="16">
        <v>100</v>
      </c>
      <c r="J68" s="16">
        <v>100</v>
      </c>
      <c r="K68" s="16">
        <v>100</v>
      </c>
      <c r="L68" s="16">
        <v>100</v>
      </c>
      <c r="M68" s="16">
        <v>99.17</v>
      </c>
      <c r="N68" s="16">
        <v>75.47</v>
      </c>
      <c r="O68" s="16">
        <v>33.36</v>
      </c>
      <c r="P68" s="16">
        <v>7.08</v>
      </c>
      <c r="Q68" s="16">
        <v>0.52</v>
      </c>
    </row>
    <row r="69" spans="2:17" x14ac:dyDescent="0.25">
      <c r="B69" s="18">
        <v>5</v>
      </c>
      <c r="C69" s="15">
        <v>45000</v>
      </c>
      <c r="D69" s="16">
        <v>100</v>
      </c>
      <c r="E69" s="16">
        <v>100</v>
      </c>
      <c r="F69" s="16">
        <v>100</v>
      </c>
      <c r="G69" s="16">
        <v>100</v>
      </c>
      <c r="H69" s="16">
        <v>100</v>
      </c>
      <c r="I69" s="16">
        <v>100</v>
      </c>
      <c r="J69" s="16">
        <v>100</v>
      </c>
      <c r="K69" s="16">
        <v>100</v>
      </c>
      <c r="L69" s="16">
        <v>99.84</v>
      </c>
      <c r="M69" s="16">
        <v>94.53</v>
      </c>
      <c r="N69" s="16">
        <v>67.22</v>
      </c>
      <c r="O69" s="16">
        <v>28.2</v>
      </c>
      <c r="P69" s="16">
        <v>5.8</v>
      </c>
      <c r="Q69" s="16">
        <v>0.42</v>
      </c>
    </row>
    <row r="70" spans="2:17" x14ac:dyDescent="0.25">
      <c r="B70" s="18">
        <v>6</v>
      </c>
      <c r="C70" s="15">
        <v>45049</v>
      </c>
      <c r="D70" s="16">
        <v>100</v>
      </c>
      <c r="E70" s="16">
        <v>100</v>
      </c>
      <c r="F70" s="16">
        <v>100</v>
      </c>
      <c r="G70" s="16">
        <v>100</v>
      </c>
      <c r="H70" s="16">
        <v>100</v>
      </c>
      <c r="I70" s="16">
        <v>100</v>
      </c>
      <c r="J70" s="16">
        <v>100</v>
      </c>
      <c r="K70" s="16">
        <v>99.94</v>
      </c>
      <c r="L70" s="16">
        <v>97.78</v>
      </c>
      <c r="M70" s="16">
        <v>83.93</v>
      </c>
      <c r="N70" s="16">
        <v>52.08</v>
      </c>
      <c r="O70" s="16">
        <v>19.510000000000002</v>
      </c>
      <c r="P70" s="16">
        <v>3.71</v>
      </c>
      <c r="Q70" s="16">
        <v>0.26</v>
      </c>
    </row>
    <row r="71" spans="2:17" x14ac:dyDescent="0.25">
      <c r="B71" s="18">
        <v>7</v>
      </c>
      <c r="C71" s="15">
        <v>45091</v>
      </c>
      <c r="D71" s="16">
        <v>100</v>
      </c>
      <c r="E71" s="16">
        <v>100</v>
      </c>
      <c r="F71" s="16">
        <v>100</v>
      </c>
      <c r="G71" s="16">
        <v>100</v>
      </c>
      <c r="H71" s="16">
        <v>100</v>
      </c>
      <c r="I71" s="16">
        <v>100</v>
      </c>
      <c r="J71" s="16">
        <v>99.98</v>
      </c>
      <c r="K71" s="16">
        <v>99.22</v>
      </c>
      <c r="L71" s="16">
        <v>93.18</v>
      </c>
      <c r="M71" s="16">
        <v>73.36</v>
      </c>
      <c r="N71" s="16">
        <v>41.27</v>
      </c>
      <c r="O71" s="16">
        <v>14.26</v>
      </c>
      <c r="P71" s="16">
        <v>2.56</v>
      </c>
      <c r="Q71" s="16">
        <v>0.17</v>
      </c>
    </row>
    <row r="72" spans="2:17" x14ac:dyDescent="0.25">
      <c r="B72" s="18">
        <v>8</v>
      </c>
      <c r="C72" s="15">
        <v>45133</v>
      </c>
      <c r="D72" s="16">
        <v>100</v>
      </c>
      <c r="E72" s="16">
        <v>100</v>
      </c>
      <c r="F72" s="16">
        <v>100</v>
      </c>
      <c r="G72" s="16">
        <v>100</v>
      </c>
      <c r="H72" s="16">
        <v>100</v>
      </c>
      <c r="I72" s="16">
        <v>99.99</v>
      </c>
      <c r="J72" s="16">
        <v>99.75</v>
      </c>
      <c r="K72" s="16">
        <v>97.41</v>
      </c>
      <c r="L72" s="16">
        <v>87.23</v>
      </c>
      <c r="M72" s="16">
        <v>63.73</v>
      </c>
      <c r="N72" s="16">
        <v>33.17</v>
      </c>
      <c r="O72" s="16">
        <v>10.76</v>
      </c>
      <c r="P72" s="16">
        <v>1.85</v>
      </c>
      <c r="Q72" s="16">
        <v>0.12</v>
      </c>
    </row>
    <row r="73" spans="2:17" x14ac:dyDescent="0.25">
      <c r="B73" s="18">
        <v>9</v>
      </c>
      <c r="C73" s="15">
        <v>45189</v>
      </c>
      <c r="D73" s="16">
        <v>100</v>
      </c>
      <c r="E73" s="16">
        <v>100</v>
      </c>
      <c r="F73" s="16">
        <v>100</v>
      </c>
      <c r="G73" s="16">
        <v>100</v>
      </c>
      <c r="H73" s="16">
        <v>100</v>
      </c>
      <c r="I73" s="16">
        <v>99.9</v>
      </c>
      <c r="J73" s="16">
        <v>98.86</v>
      </c>
      <c r="K73" s="16">
        <v>93.54</v>
      </c>
      <c r="L73" s="16">
        <v>78.3</v>
      </c>
      <c r="M73" s="16">
        <v>52.12</v>
      </c>
      <c r="N73" s="16">
        <v>24.65</v>
      </c>
      <c r="O73" s="16">
        <v>7.37</v>
      </c>
      <c r="P73" s="16">
        <v>1.19</v>
      </c>
      <c r="Q73" s="16">
        <v>7.0000000000000007E-2</v>
      </c>
    </row>
    <row r="74" spans="2:17" x14ac:dyDescent="0.25">
      <c r="B74" s="18">
        <v>10</v>
      </c>
      <c r="C74" s="15">
        <v>45231</v>
      </c>
      <c r="D74" s="16">
        <v>100</v>
      </c>
      <c r="E74" s="16">
        <v>100</v>
      </c>
      <c r="F74" s="16">
        <v>100</v>
      </c>
      <c r="G74" s="16">
        <v>100</v>
      </c>
      <c r="H74" s="16">
        <v>99.97</v>
      </c>
      <c r="I74" s="16">
        <v>99.63</v>
      </c>
      <c r="J74" s="16">
        <v>97.48</v>
      </c>
      <c r="K74" s="16">
        <v>89.58</v>
      </c>
      <c r="L74" s="16">
        <v>71.489999999999995</v>
      </c>
      <c r="M74" s="16">
        <v>44.98</v>
      </c>
      <c r="N74" s="16">
        <v>20.16</v>
      </c>
      <c r="O74" s="16">
        <v>5.76</v>
      </c>
      <c r="P74" s="16">
        <v>0.9</v>
      </c>
      <c r="Q74" s="16">
        <v>0.06</v>
      </c>
    </row>
    <row r="75" spans="2:17" x14ac:dyDescent="0.25">
      <c r="B75" s="18">
        <v>11</v>
      </c>
      <c r="C75" s="15">
        <v>45273</v>
      </c>
      <c r="D75" s="16">
        <v>100</v>
      </c>
      <c r="E75" s="16">
        <v>100</v>
      </c>
      <c r="F75" s="16">
        <v>100</v>
      </c>
      <c r="G75" s="16">
        <v>99.99</v>
      </c>
      <c r="H75" s="16">
        <v>99.88</v>
      </c>
      <c r="I75" s="16">
        <v>99.03</v>
      </c>
      <c r="J75" s="16">
        <v>95.27</v>
      </c>
      <c r="K75" s="16">
        <v>84.52</v>
      </c>
      <c r="L75" s="16">
        <v>64.069999999999993</v>
      </c>
      <c r="M75" s="16">
        <v>38.020000000000003</v>
      </c>
      <c r="N75" s="16">
        <v>16.13</v>
      </c>
      <c r="O75" s="16">
        <v>4.4000000000000004</v>
      </c>
      <c r="P75" s="16">
        <v>0.66</v>
      </c>
      <c r="Q75" s="16">
        <v>0.04</v>
      </c>
    </row>
    <row r="76" spans="2:17" x14ac:dyDescent="0.25">
      <c r="B76" s="18">
        <v>12</v>
      </c>
      <c r="C76" s="15">
        <v>45322</v>
      </c>
      <c r="D76" s="16">
        <v>100</v>
      </c>
      <c r="E76" s="16">
        <v>100</v>
      </c>
      <c r="F76" s="16">
        <v>100</v>
      </c>
      <c r="G76" s="16">
        <v>99.96</v>
      </c>
      <c r="H76" s="16">
        <v>99.65</v>
      </c>
      <c r="I76" s="16">
        <v>98.01</v>
      </c>
      <c r="J76" s="16">
        <v>92.34</v>
      </c>
      <c r="K76" s="16">
        <v>78.95</v>
      </c>
      <c r="L76" s="16">
        <v>56.99</v>
      </c>
      <c r="M76" s="16">
        <v>32.07</v>
      </c>
      <c r="N76" s="16">
        <v>12.94</v>
      </c>
      <c r="O76" s="16">
        <v>3.38</v>
      </c>
      <c r="P76" s="16">
        <v>0.49</v>
      </c>
      <c r="Q76" s="16">
        <v>0.03</v>
      </c>
    </row>
  </sheetData>
  <pageMargins left="0.7" right="0.7" top="0.75" bottom="0.75" header="0.3" footer="0.3"/>
  <pageSetup orientation="portrait" r:id="rId1"/>
  <headerFooter>
    <oddFooter>&amp;C&amp;1#&amp;"Calibri"&amp;8&amp;K000000Classification: 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F64AD-5BB7-4107-B5DD-5126993628D4}">
  <sheetPr codeName="Sheet3">
    <tabColor theme="7" tint="0.59999389629810485"/>
  </sheetPr>
  <dimension ref="A1:B4"/>
  <sheetViews>
    <sheetView workbookViewId="0">
      <selection activeCell="I6" sqref="I6"/>
    </sheetView>
  </sheetViews>
  <sheetFormatPr defaultRowHeight="15" x14ac:dyDescent="0.25"/>
  <cols>
    <col min="1" max="1" width="13.140625" bestFit="1" customWidth="1"/>
  </cols>
  <sheetData>
    <row r="1" spans="1:2" x14ac:dyDescent="0.25">
      <c r="A1" t="s">
        <v>34</v>
      </c>
      <c r="B1" t="s">
        <v>53</v>
      </c>
    </row>
    <row r="2" spans="1:2" x14ac:dyDescent="0.25">
      <c r="A2" t="s">
        <v>35</v>
      </c>
      <c r="B2" t="s">
        <v>38</v>
      </c>
    </row>
    <row r="3" spans="1:2" x14ac:dyDescent="0.25">
      <c r="A3" t="s">
        <v>36</v>
      </c>
      <c r="B3" t="s">
        <v>64</v>
      </c>
    </row>
    <row r="4" spans="1:2" x14ac:dyDescent="0.25">
      <c r="A4" t="s">
        <v>37</v>
      </c>
      <c r="B4" t="s">
        <v>40</v>
      </c>
    </row>
  </sheetData>
  <pageMargins left="0.7" right="0.7" top="0.75" bottom="0.75" header="0.3" footer="0.3"/>
  <pageSetup orientation="portrait" r:id="rId1"/>
  <headerFooter>
    <oddFooter>&amp;C&amp;1#&amp;"Calibri"&amp;8&amp;K000000Classification: Internal Use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65002-CC9D-48BB-9AED-1CDF5B22FEDB}">
  <sheetPr codeName="Sheet4">
    <tabColor theme="5" tint="0.39997558519241921"/>
  </sheetPr>
  <dimension ref="A1:E6"/>
  <sheetViews>
    <sheetView workbookViewId="0">
      <selection activeCell="B2" sqref="B2"/>
    </sheetView>
  </sheetViews>
  <sheetFormatPr defaultRowHeight="15" x14ac:dyDescent="0.25"/>
  <cols>
    <col min="1" max="1" width="35" bestFit="1" customWidth="1"/>
    <col min="2" max="2" width="27.5703125" bestFit="1" customWidth="1"/>
    <col min="5" max="5" width="27.140625" bestFit="1" customWidth="1"/>
  </cols>
  <sheetData>
    <row r="1" spans="1:5" x14ac:dyDescent="0.25">
      <c r="A1" t="s">
        <v>56</v>
      </c>
      <c r="B1" t="s">
        <v>36</v>
      </c>
      <c r="E1" t="s">
        <v>59</v>
      </c>
    </row>
    <row r="2" spans="1:5" x14ac:dyDescent="0.25">
      <c r="A2" t="s">
        <v>55</v>
      </c>
      <c r="B2" t="s">
        <v>39</v>
      </c>
      <c r="E2" t="s">
        <v>62</v>
      </c>
    </row>
    <row r="3" spans="1:5" x14ac:dyDescent="0.25">
      <c r="A3" t="s">
        <v>54</v>
      </c>
      <c r="B3" t="s">
        <v>52</v>
      </c>
      <c r="E3" t="s">
        <v>61</v>
      </c>
    </row>
    <row r="4" spans="1:5" x14ac:dyDescent="0.25">
      <c r="A4" t="s">
        <v>57</v>
      </c>
      <c r="B4" s="23" t="s">
        <v>65</v>
      </c>
      <c r="E4" t="s">
        <v>63</v>
      </c>
    </row>
    <row r="5" spans="1:5" x14ac:dyDescent="0.25">
      <c r="A5" t="s">
        <v>58</v>
      </c>
      <c r="B5" s="23" t="s">
        <v>64</v>
      </c>
      <c r="E5" t="s">
        <v>60</v>
      </c>
    </row>
    <row r="6" spans="1:5" x14ac:dyDescent="0.25">
      <c r="E6" s="24"/>
    </row>
  </sheetData>
  <pageMargins left="0.7" right="0.7" top="0.75" bottom="0.75" header="0.3" footer="0.3"/>
  <pageSetup orientation="portrait" r:id="rId1"/>
  <headerFooter>
    <oddFooter>&amp;C&amp;1#&amp;"Calibri"&amp;8&amp;K000000Classification: Internal Use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Monitor</vt:lpstr>
      <vt:lpstr>BBG_Data</vt:lpstr>
      <vt:lpstr>xlwings.conf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Momsen, Alexander</dc:creator>
  <cp:lastModifiedBy>Greivenkamp, Kyle</cp:lastModifiedBy>
  <dcterms:created xsi:type="dcterms:W3CDTF">2022-04-26T14:35:27Z</dcterms:created>
  <dcterms:modified xsi:type="dcterms:W3CDTF">2022-07-26T18:31:46Z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d1abddc-e309-4823-8367-94170e9d3518_Enabled">
    <vt:lpwstr>true</vt:lpwstr>
  </property>
  <property fmtid="{D5CDD505-2E9C-101B-9397-08002B2CF9AE}" pid="3" name="MSIP_Label_1d1abddc-e309-4823-8367-94170e9d3518_SetDate">
    <vt:lpwstr>2022-07-26T18:31:46Z</vt:lpwstr>
  </property>
  <property fmtid="{D5CDD505-2E9C-101B-9397-08002B2CF9AE}" pid="4" name="MSIP_Label_1d1abddc-e309-4823-8367-94170e9d3518_Method">
    <vt:lpwstr>Standard</vt:lpwstr>
  </property>
  <property fmtid="{D5CDD505-2E9C-101B-9397-08002B2CF9AE}" pid="5" name="MSIP_Label_1d1abddc-e309-4823-8367-94170e9d3518_Name">
    <vt:lpwstr>Internal Use</vt:lpwstr>
  </property>
  <property fmtid="{D5CDD505-2E9C-101B-9397-08002B2CF9AE}" pid="6" name="MSIP_Label_1d1abddc-e309-4823-8367-94170e9d3518_SiteId">
    <vt:lpwstr>cfddba29-ca2a-450c-a415-595e7fcce8e5</vt:lpwstr>
  </property>
  <property fmtid="{D5CDD505-2E9C-101B-9397-08002B2CF9AE}" pid="7" name="MSIP_Label_1d1abddc-e309-4823-8367-94170e9d3518_ActionId">
    <vt:lpwstr>afc1d20b-ac95-4d26-9012-6058ab7efb47</vt:lpwstr>
  </property>
  <property fmtid="{D5CDD505-2E9C-101B-9397-08002B2CF9AE}" pid="8" name="MSIP_Label_1d1abddc-e309-4823-8367-94170e9d3518_ContentBits">
    <vt:lpwstr>2</vt:lpwstr>
  </property>
</Properties>
</file>